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tats" sheetId="2" state="visible" r:id="rId2"/>
    <sheet xmlns:r="http://schemas.openxmlformats.org/officeDocument/2006/relationships" name="Boo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8">
    <font>
      <name val="Calibri"/>
      <family val="2"/>
      <color theme="1"/>
      <sz val="11"/>
      <scheme val="minor"/>
    </font>
    <font>
      <color rgb="001A1A1A"/>
      <sz val="20"/>
    </font>
    <font>
      <color rgb="008B7E6F"/>
      <sz val="10"/>
    </font>
    <font>
      <b val="1"/>
      <color rgb="008B7E6F"/>
      <sz val="9"/>
    </font>
    <font>
      <color rgb="008B7E6F"/>
      <sz val="9"/>
    </font>
    <font>
      <b val="1"/>
      <color rgb="00FFFFFF"/>
      <sz val="10"/>
    </font>
    <font>
      <color rgb="001A1A1A"/>
      <sz val="10"/>
    </font>
    <font>
      <color rgb="00555555"/>
      <sz val="10"/>
    </font>
  </fonts>
  <fills count="4">
    <fill>
      <patternFill/>
    </fill>
    <fill>
      <patternFill patternType="gray125"/>
    </fill>
    <fill>
      <patternFill patternType="solid">
        <fgColor rgb="00E8833A"/>
      </patternFill>
    </fill>
    <fill>
      <patternFill patternType="solid">
        <fgColor rgb="00FFF4EA"/>
      </patternFill>
    </fill>
  </fills>
  <borders count="2">
    <border>
      <left/>
      <right/>
      <top/>
      <bottom/>
      <diagonal/>
    </border>
    <border>
      <bottom style="thin">
        <color rgb="00E8E0D5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6" fillId="0" borderId="1" pivotButton="0" quotePrefix="0" xfId="0"/>
    <xf numFmtId="0" fontId="6" fillId="3" borderId="1" pivotButton="0" quotePrefix="0" xfId="0"/>
    <xf numFmtId="0" fontId="7" fillId="0" borderId="1" pivotButton="0" quotePrefix="0" xfId="0"/>
    <xf numFmtId="9" fontId="7" fillId="0" borderId="1" pivotButton="0" quotePrefix="0" xfId="0"/>
    <xf numFmtId="3" fontId="7" fillId="0" borderId="1" pivotButton="0" quotePrefix="0" xfId="0"/>
    <xf numFmtId="165" fontId="7" fillId="0" borderId="1" pivotButton="0" quotePrefix="0" xfId="0"/>
    <xf numFmtId="0" fontId="5" fillId="2" borderId="0" applyAlignment="1" pivotButton="0" quotePrefix="0" xfId="0">
      <alignment horizontal="center" vertical="center" wrapText="1"/>
    </xf>
    <xf numFmtId="164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Books per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'Stats'!E12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'Stats'!$D$13:$D$24</f>
            </numRef>
          </cat>
          <val>
            <numRef>
              <f>'Stats'!$E$13:$E$24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E8833A"/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1" ht="30" customHeight="1">
      <c r="A1" s="1" t="inlineStr">
        <is>
          <t>Reading Log</t>
        </is>
      </c>
    </row>
    <row r="2">
      <c r="A2" s="2" t="inlineStr">
        <is>
          <t>Free template · templates.snoutsmith.com</t>
        </is>
      </c>
    </row>
    <row r="4">
      <c r="B4" s="3" t="inlineStr">
        <is>
          <t>WHAT IT DOES</t>
        </is>
      </c>
    </row>
    <row r="5" ht="34" customHeight="1">
      <c r="B5" s="4" t="inlineStr">
        <is>
          <t>Log the books you read, rate them, and watch your yearly goal fill up – with pages read and books per month.</t>
        </is>
      </c>
    </row>
    <row r="7">
      <c r="B7" s="3" t="inlineStr">
        <is>
          <t>HOW TO USE</t>
        </is>
      </c>
    </row>
    <row r="8">
      <c r="B8" s="4" t="inlineStr">
        <is>
          <t>1. Set your yearly goal in Stats!B4.</t>
        </is>
      </c>
    </row>
    <row r="9">
      <c r="B9" s="4" t="inlineStr">
        <is>
          <t>2. Add each book on Books with the finish date, pages and a 1–5 rating.</t>
        </is>
      </c>
    </row>
    <row r="10">
      <c r="B10" s="4" t="inlineStr">
        <is>
          <t>3. Stats shows progress, pages and your monthly count.</t>
        </is>
      </c>
    </row>
    <row r="12">
      <c r="B12" s="3" t="inlineStr">
        <is>
          <t>GOOD TO KNOW</t>
        </is>
      </c>
    </row>
    <row r="13">
      <c r="B13" s="4" t="inlineStr">
        <is>
          <t>• Leave the finish date blank for books you are still reading.</t>
        </is>
      </c>
    </row>
    <row r="14">
      <c r="B14" s="4" t="inlineStr">
        <is>
          <t>• Delete sample rows (5–29) to start your own year.</t>
        </is>
      </c>
    </row>
    <row r="16">
      <c r="B16" s="5" t="inlineStr">
        <is>
          <t>Tinted cells are yours to type in. Grey numbers are formulas – leave them. Works in Google Sheets (File → Import or open the .xlsx) and Excel, free plans, no add-ons or scripts.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8E0D5"/>
    <outlinePr summaryBelow="1" summaryRight="1"/>
    <pageSetUpPr/>
  </sheetPr>
  <dimension ref="A1:E24"/>
  <sheetViews>
    <sheetView showGridLines="0" workbookViewId="0"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" customWidth="1" min="3" max="3"/>
    <col width="12" customWidth="1" min="4" max="4"/>
    <col width="12" customWidth="1" min="5" max="5"/>
  </cols>
  <sheetData>
    <row r="1" ht="30" customHeight="1">
      <c r="A1" s="1" t="inlineStr">
        <is>
          <t>Stats</t>
        </is>
      </c>
    </row>
    <row r="2">
      <c r="A2" s="2" t="inlineStr">
        <is>
          <t>Your year in books</t>
        </is>
      </c>
    </row>
    <row r="4">
      <c r="A4" s="6" t="inlineStr">
        <is>
          <t>Yearly goal</t>
        </is>
      </c>
      <c r="B4" s="7" t="n">
        <v>30</v>
      </c>
    </row>
    <row r="5">
      <c r="A5" s="6" t="inlineStr">
        <is>
          <t>Books finished</t>
        </is>
      </c>
      <c r="B5" s="8">
        <f>COUNT(Books!C5:C500)</f>
        <v/>
      </c>
    </row>
    <row r="6">
      <c r="A6" s="6" t="inlineStr">
        <is>
          <t>Goal reached</t>
        </is>
      </c>
      <c r="B6" s="9">
        <f>IF(B4=0,0,MIN(1,B5/B4))</f>
        <v/>
      </c>
    </row>
    <row r="7">
      <c r="A7" s="6" t="inlineStr">
        <is>
          <t>Pages read</t>
        </is>
      </c>
      <c r="B7" s="10">
        <f>SUMIFS(Books!D5:D500,Books!C5:C500,"&lt;&gt;")</f>
        <v/>
      </c>
    </row>
    <row r="8">
      <c r="A8" s="6" t="inlineStr">
        <is>
          <t>Average rating</t>
        </is>
      </c>
      <c r="B8" s="11">
        <f>IFERROR(AVERAGEIFS(Books!E5:E500,Books!C5:C500,"&lt;&gt;"),0)</f>
        <v/>
      </c>
    </row>
    <row r="9">
      <c r="A9" s="6" t="inlineStr">
        <is>
          <t>Still reading</t>
        </is>
      </c>
      <c r="B9" s="8">
        <f>COUNTIFS(Books!A5:A500,"&lt;&gt;",Books!C5:C500,"")</f>
        <v/>
      </c>
    </row>
    <row r="12" ht="22" customHeight="1">
      <c r="A12" s="12" t="inlineStr"/>
      <c r="B12" s="12" t="inlineStr"/>
      <c r="C12" s="12" t="inlineStr"/>
      <c r="D12" s="12" t="inlineStr">
        <is>
          <t>Month</t>
        </is>
      </c>
      <c r="E12" s="12" t="inlineStr">
        <is>
          <t>Books</t>
        </is>
      </c>
    </row>
    <row r="13">
      <c r="D13" s="6" t="inlineStr">
        <is>
          <t>Jan</t>
        </is>
      </c>
      <c r="E13" s="8">
        <f>COUNTIFS(Books!$C$5:$C$500,"&gt;="&amp;DATE(2026,1,1),Books!$C$5:$C$500,"&lt;"&amp;DATE(2026,2,1)+0)</f>
        <v/>
      </c>
    </row>
    <row r="14">
      <c r="D14" s="6" t="inlineStr">
        <is>
          <t>Feb</t>
        </is>
      </c>
      <c r="E14" s="8">
        <f>COUNTIFS(Books!$C$5:$C$500,"&gt;="&amp;DATE(2026,2,1),Books!$C$5:$C$500,"&lt;"&amp;DATE(2026,3,1)+0)</f>
        <v/>
      </c>
    </row>
    <row r="15">
      <c r="D15" s="6" t="inlineStr">
        <is>
          <t>Mar</t>
        </is>
      </c>
      <c r="E15" s="8">
        <f>COUNTIFS(Books!$C$5:$C$500,"&gt;="&amp;DATE(2026,3,1),Books!$C$5:$C$500,"&lt;"&amp;DATE(2026,4,1)+0)</f>
        <v/>
      </c>
    </row>
    <row r="16">
      <c r="D16" s="6" t="inlineStr">
        <is>
          <t>Apr</t>
        </is>
      </c>
      <c r="E16" s="8">
        <f>COUNTIFS(Books!$C$5:$C$500,"&gt;="&amp;DATE(2026,4,1),Books!$C$5:$C$500,"&lt;"&amp;DATE(2026,5,1)+0)</f>
        <v/>
      </c>
    </row>
    <row r="17">
      <c r="D17" s="6" t="inlineStr">
        <is>
          <t>May</t>
        </is>
      </c>
      <c r="E17" s="8">
        <f>COUNTIFS(Books!$C$5:$C$500,"&gt;="&amp;DATE(2026,5,1),Books!$C$5:$C$500,"&lt;"&amp;DATE(2026,6,1)+0)</f>
        <v/>
      </c>
    </row>
    <row r="18">
      <c r="D18" s="6" t="inlineStr">
        <is>
          <t>Jun</t>
        </is>
      </c>
      <c r="E18" s="8">
        <f>COUNTIFS(Books!$C$5:$C$500,"&gt;="&amp;DATE(2026,6,1),Books!$C$5:$C$500,"&lt;"&amp;DATE(2026,7,1)+0)</f>
        <v/>
      </c>
    </row>
    <row r="19">
      <c r="D19" s="6" t="inlineStr">
        <is>
          <t>Jul</t>
        </is>
      </c>
      <c r="E19" s="8">
        <f>COUNTIFS(Books!$C$5:$C$500,"&gt;="&amp;DATE(2026,7,1),Books!$C$5:$C$500,"&lt;"&amp;DATE(2026,8,1)+0)</f>
        <v/>
      </c>
    </row>
    <row r="20">
      <c r="D20" s="6" t="inlineStr">
        <is>
          <t>Aug</t>
        </is>
      </c>
      <c r="E20" s="8">
        <f>COUNTIFS(Books!$C$5:$C$500,"&gt;="&amp;DATE(2026,8,1),Books!$C$5:$C$500,"&lt;"&amp;DATE(2026,9,1)+0)</f>
        <v/>
      </c>
    </row>
    <row r="21">
      <c r="D21" s="6" t="inlineStr">
        <is>
          <t>Sep</t>
        </is>
      </c>
      <c r="E21" s="8">
        <f>COUNTIFS(Books!$C$5:$C$500,"&gt;="&amp;DATE(2026,9,1),Books!$C$5:$C$500,"&lt;"&amp;DATE(2026,10,1)+0)</f>
        <v/>
      </c>
    </row>
    <row r="22">
      <c r="D22" s="6" t="inlineStr">
        <is>
          <t>Oct</t>
        </is>
      </c>
      <c r="E22" s="8">
        <f>COUNTIFS(Books!$C$5:$C$500,"&gt;="&amp;DATE(2026,10,1),Books!$C$5:$C$500,"&lt;"&amp;DATE(2026,11,1)+0)</f>
        <v/>
      </c>
    </row>
    <row r="23">
      <c r="D23" s="6" t="inlineStr">
        <is>
          <t>Nov</t>
        </is>
      </c>
      <c r="E23" s="8">
        <f>COUNTIFS(Books!$C$5:$C$500,"&gt;="&amp;DATE(2026,11,1),Books!$C$5:$C$500,"&lt;"&amp;DATE(2026,12,1)+0)</f>
        <v/>
      </c>
    </row>
    <row r="24">
      <c r="D24" s="6" t="inlineStr">
        <is>
          <t>Dec</t>
        </is>
      </c>
      <c r="E24" s="8">
        <f>COUNTIFS(Books!$C$5:$C$500,"&gt;="&amp;DATE(2026,12,1),Books!$C$5:$C$500,"&lt;"&amp;DATE(2026,1,1)+365)</f>
        <v/>
      </c>
    </row>
  </sheetData>
  <conditionalFormatting sqref="B6">
    <cfRule type="dataBar" priority="1">
      <dataBar>
        <cfvo type="num" val="0"/>
        <cfvo type="num" val="1"/>
        <color rgb="00E8833A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E8E0D5"/>
    <outlinePr summaryBelow="1" summaryRight="1"/>
    <pageSetUpPr/>
  </sheetPr>
  <dimension ref="A1:G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9" customWidth="1" min="4" max="4"/>
    <col width="8" customWidth="1" min="5" max="5"/>
    <col width="12" customWidth="1" min="6" max="6"/>
    <col width="30" customWidth="1" min="7" max="7"/>
  </cols>
  <sheetData>
    <row r="1" ht="30" customHeight="1">
      <c r="A1" s="1" t="inlineStr">
        <is>
          <t>Books</t>
        </is>
      </c>
    </row>
    <row r="2">
      <c r="A2" s="2" t="inlineStr">
        <is>
          <t>2026</t>
        </is>
      </c>
    </row>
    <row r="4" ht="22" customHeight="1">
      <c r="A4" s="12" t="inlineStr">
        <is>
          <t>Title</t>
        </is>
      </c>
      <c r="B4" s="12" t="inlineStr">
        <is>
          <t>Author</t>
        </is>
      </c>
      <c r="C4" s="12" t="inlineStr">
        <is>
          <t>Finished</t>
        </is>
      </c>
      <c r="D4" s="12" t="inlineStr">
        <is>
          <t>Pages</t>
        </is>
      </c>
      <c r="E4" s="12" t="inlineStr">
        <is>
          <t>Rating</t>
        </is>
      </c>
      <c r="F4" s="12" t="inlineStr">
        <is>
          <t>Format</t>
        </is>
      </c>
      <c r="G4" s="12" t="inlineStr">
        <is>
          <t>Note</t>
        </is>
      </c>
    </row>
    <row r="5">
      <c r="A5" s="7" t="inlineStr">
        <is>
          <t>Sample book 1</t>
        </is>
      </c>
      <c r="B5" s="7" t="inlineStr">
        <is>
          <t>Author A</t>
        </is>
      </c>
      <c r="C5" s="13" t="n">
        <v>46025</v>
      </c>
      <c r="D5" s="7" t="n">
        <v>458</v>
      </c>
      <c r="E5" s="7" t="n">
        <v>4</v>
      </c>
      <c r="F5" s="7" t="inlineStr">
        <is>
          <t>Audio</t>
        </is>
      </c>
    </row>
    <row r="6">
      <c r="A6" s="7" t="inlineStr">
        <is>
          <t>Sample book 2</t>
        </is>
      </c>
      <c r="B6" s="7" t="inlineStr">
        <is>
          <t>Author B</t>
        </is>
      </c>
      <c r="C6" s="13" t="n">
        <v>46030</v>
      </c>
      <c r="D6" s="7" t="n">
        <v>323</v>
      </c>
      <c r="E6" s="7" t="n">
        <v>2</v>
      </c>
      <c r="F6" s="7" t="inlineStr">
        <is>
          <t>Ebook</t>
        </is>
      </c>
    </row>
    <row r="7">
      <c r="A7" s="7" t="inlineStr">
        <is>
          <t>Sample book 3</t>
        </is>
      </c>
      <c r="B7" s="7" t="inlineStr">
        <is>
          <t>Author C</t>
        </is>
      </c>
      <c r="C7" s="13" t="n">
        <v>46035</v>
      </c>
      <c r="D7" s="7" t="n">
        <v>267</v>
      </c>
      <c r="E7" s="7" t="n">
        <v>2</v>
      </c>
      <c r="F7" s="7" t="inlineStr">
        <is>
          <t>Print</t>
        </is>
      </c>
    </row>
    <row r="8">
      <c r="A8" s="7" t="inlineStr">
        <is>
          <t>Sample book 4</t>
        </is>
      </c>
      <c r="B8" s="7" t="inlineStr">
        <is>
          <t>Author D</t>
        </is>
      </c>
      <c r="C8" s="13" t="n">
        <v>46071</v>
      </c>
      <c r="D8" s="7" t="n">
        <v>197</v>
      </c>
      <c r="E8" s="7" t="n">
        <v>4</v>
      </c>
      <c r="F8" s="7" t="inlineStr">
        <is>
          <t>Ebook</t>
        </is>
      </c>
    </row>
    <row r="9">
      <c r="A9" s="7" t="inlineStr">
        <is>
          <t>Sample book 5</t>
        </is>
      </c>
      <c r="B9" s="7" t="inlineStr">
        <is>
          <t>Author E</t>
        </is>
      </c>
      <c r="C9" s="13" t="n">
        <v>46076</v>
      </c>
      <c r="D9" s="7" t="n">
        <v>266</v>
      </c>
      <c r="E9" s="7" t="n">
        <v>5</v>
      </c>
      <c r="F9" s="7" t="inlineStr">
        <is>
          <t>Audio</t>
        </is>
      </c>
    </row>
    <row r="10">
      <c r="A10" s="7" t="inlineStr">
        <is>
          <t>Sample book 6</t>
        </is>
      </c>
      <c r="B10" s="7" t="inlineStr">
        <is>
          <t>Author F</t>
        </is>
      </c>
      <c r="C10" s="13" t="n">
        <v>46056</v>
      </c>
      <c r="D10" s="7" t="n">
        <v>192</v>
      </c>
      <c r="E10" s="7" t="n">
        <v>3</v>
      </c>
      <c r="F10" s="7" t="inlineStr">
        <is>
          <t>Print</t>
        </is>
      </c>
    </row>
    <row r="11">
      <c r="A11" s="7" t="inlineStr">
        <is>
          <t>Sample book 7</t>
        </is>
      </c>
      <c r="B11" s="7" t="inlineStr">
        <is>
          <t>Author G</t>
        </is>
      </c>
      <c r="C11" s="13" t="n">
        <v>46089</v>
      </c>
      <c r="D11" s="7" t="n">
        <v>514</v>
      </c>
      <c r="E11" s="7" t="n">
        <v>3</v>
      </c>
      <c r="F11" s="7" t="inlineStr">
        <is>
          <t>Ebook</t>
        </is>
      </c>
    </row>
    <row r="12">
      <c r="A12" s="7" t="inlineStr">
        <is>
          <t>Sample book 8</t>
        </is>
      </c>
      <c r="B12" s="7" t="inlineStr">
        <is>
          <t>Author H</t>
        </is>
      </c>
      <c r="C12" s="13" t="n">
        <v>46094</v>
      </c>
      <c r="D12" s="7" t="n">
        <v>283</v>
      </c>
      <c r="E12" s="7" t="n">
        <v>3</v>
      </c>
      <c r="F12" s="7" t="inlineStr">
        <is>
          <t>Ebook</t>
        </is>
      </c>
    </row>
    <row r="13">
      <c r="A13" s="7" t="inlineStr">
        <is>
          <t>Sample book 9</t>
        </is>
      </c>
      <c r="B13" s="7" t="inlineStr">
        <is>
          <t>Author I</t>
        </is>
      </c>
      <c r="C13" s="13" t="n">
        <v>46099</v>
      </c>
      <c r="D13" s="7" t="n">
        <v>221</v>
      </c>
      <c r="E13" s="7" t="n">
        <v>2</v>
      </c>
      <c r="F13" s="7" t="inlineStr">
        <is>
          <t>Print</t>
        </is>
      </c>
    </row>
    <row r="14">
      <c r="A14" s="7" t="inlineStr">
        <is>
          <t>Sample book 10</t>
        </is>
      </c>
      <c r="B14" s="7" t="inlineStr">
        <is>
          <t>Author J</t>
        </is>
      </c>
      <c r="C14" s="13" t="n">
        <v>46135</v>
      </c>
      <c r="D14" s="7" t="n">
        <v>456</v>
      </c>
      <c r="E14" s="7" t="n">
        <v>5</v>
      </c>
      <c r="F14" s="7" t="inlineStr">
        <is>
          <t>Print</t>
        </is>
      </c>
    </row>
    <row r="15">
      <c r="A15" s="7" t="inlineStr">
        <is>
          <t>Sample book 11</t>
        </is>
      </c>
      <c r="B15" s="7" t="inlineStr">
        <is>
          <t>Author K</t>
        </is>
      </c>
      <c r="C15" s="13" t="n">
        <v>46115</v>
      </c>
      <c r="D15" s="7" t="n">
        <v>207</v>
      </c>
      <c r="E15" s="7" t="n">
        <v>2</v>
      </c>
      <c r="F15" s="7" t="inlineStr">
        <is>
          <t>Print</t>
        </is>
      </c>
    </row>
    <row r="16">
      <c r="A16" s="7" t="inlineStr">
        <is>
          <t>Sample book 12</t>
        </is>
      </c>
      <c r="B16" s="7" t="inlineStr">
        <is>
          <t>Author L</t>
        </is>
      </c>
      <c r="C16" s="13" t="n">
        <v>46120</v>
      </c>
      <c r="D16" s="7" t="n">
        <v>247</v>
      </c>
      <c r="E16" s="7" t="n">
        <v>3</v>
      </c>
      <c r="F16" s="7" t="inlineStr">
        <is>
          <t>Print</t>
        </is>
      </c>
    </row>
    <row r="17">
      <c r="A17" s="7" t="inlineStr">
        <is>
          <t>Sample book 13</t>
        </is>
      </c>
      <c r="B17" s="7" t="inlineStr">
        <is>
          <t>Author M</t>
        </is>
      </c>
      <c r="C17" s="13" t="n">
        <v>46155</v>
      </c>
      <c r="D17" s="7" t="n">
        <v>225</v>
      </c>
      <c r="E17" s="7" t="n">
        <v>4</v>
      </c>
      <c r="F17" s="7" t="inlineStr">
        <is>
          <t>Ebook</t>
        </is>
      </c>
    </row>
    <row r="18">
      <c r="A18" s="7" t="inlineStr">
        <is>
          <t>Sample book 14</t>
        </is>
      </c>
      <c r="B18" s="7" t="inlineStr">
        <is>
          <t>Author N</t>
        </is>
      </c>
      <c r="C18" s="13" t="n">
        <v>46160</v>
      </c>
      <c r="D18" s="7" t="n">
        <v>241</v>
      </c>
      <c r="E18" s="7" t="n">
        <v>3</v>
      </c>
      <c r="F18" s="7" t="inlineStr">
        <is>
          <t>Print</t>
        </is>
      </c>
    </row>
    <row r="19">
      <c r="A19" s="7" t="inlineStr">
        <is>
          <t>Sample book 15</t>
        </is>
      </c>
      <c r="B19" s="7" t="inlineStr">
        <is>
          <t>Author O</t>
        </is>
      </c>
      <c r="C19" s="13" t="n">
        <v>46165</v>
      </c>
      <c r="D19" s="7" t="n">
        <v>493</v>
      </c>
      <c r="E19" s="7" t="n">
        <v>3</v>
      </c>
      <c r="F19" s="7" t="inlineStr">
        <is>
          <t>Ebook</t>
        </is>
      </c>
    </row>
    <row r="20">
      <c r="A20" s="7" t="inlineStr">
        <is>
          <t>Sample book 16</t>
        </is>
      </c>
      <c r="B20" s="7" t="inlineStr">
        <is>
          <t>Author P</t>
        </is>
      </c>
      <c r="C20" s="13" t="n">
        <v>46176</v>
      </c>
      <c r="D20" s="7" t="n">
        <v>292</v>
      </c>
      <c r="E20" s="7" t="n">
        <v>2</v>
      </c>
      <c r="F20" s="7" t="inlineStr">
        <is>
          <t>Ebook</t>
        </is>
      </c>
    </row>
    <row r="21">
      <c r="A21" s="7" t="inlineStr">
        <is>
          <t>Sample book 17</t>
        </is>
      </c>
      <c r="B21" s="7" t="inlineStr">
        <is>
          <t>Author Q</t>
        </is>
      </c>
      <c r="C21" s="13" t="n">
        <v>46181</v>
      </c>
      <c r="D21" s="7" t="n">
        <v>352</v>
      </c>
      <c r="E21" s="7" t="n">
        <v>3</v>
      </c>
      <c r="F21" s="7" t="inlineStr">
        <is>
          <t>Print</t>
        </is>
      </c>
    </row>
    <row r="22">
      <c r="A22" s="7" t="inlineStr">
        <is>
          <t>Sample book 18</t>
        </is>
      </c>
      <c r="B22" s="7" t="inlineStr">
        <is>
          <t>Author R</t>
        </is>
      </c>
      <c r="C22" s="13" t="n">
        <v>46186</v>
      </c>
      <c r="D22" s="7" t="n">
        <v>275</v>
      </c>
      <c r="E22" s="7" t="n">
        <v>2</v>
      </c>
      <c r="F22" s="7" t="inlineStr">
        <is>
          <t>Ebook</t>
        </is>
      </c>
    </row>
    <row r="23">
      <c r="A23" s="7" t="inlineStr">
        <is>
          <t>Sample book 19</t>
        </is>
      </c>
      <c r="B23" s="7" t="inlineStr">
        <is>
          <t>Author S</t>
        </is>
      </c>
      <c r="C23" s="13" t="n">
        <v>46221</v>
      </c>
      <c r="D23" s="7" t="n">
        <v>294</v>
      </c>
      <c r="E23" s="7" t="n">
        <v>2</v>
      </c>
      <c r="F23" s="7" t="inlineStr">
        <is>
          <t>Audio</t>
        </is>
      </c>
    </row>
    <row r="24">
      <c r="A24" s="7" t="inlineStr">
        <is>
          <t>Sample book 20</t>
        </is>
      </c>
      <c r="B24" s="7" t="inlineStr">
        <is>
          <t>Author T</t>
        </is>
      </c>
      <c r="C24" s="13" t="n">
        <v>46226</v>
      </c>
      <c r="D24" s="7" t="n">
        <v>487</v>
      </c>
      <c r="E24" s="7" t="n">
        <v>4</v>
      </c>
      <c r="F24" s="7" t="inlineStr">
        <is>
          <t>Print</t>
        </is>
      </c>
    </row>
    <row r="25">
      <c r="A25" s="7" t="inlineStr">
        <is>
          <t>Sample book 21</t>
        </is>
      </c>
      <c r="B25" s="7" t="inlineStr">
        <is>
          <t>Author A</t>
        </is>
      </c>
      <c r="C25" s="13" t="n">
        <v>46206</v>
      </c>
      <c r="D25" s="7" t="n">
        <v>298</v>
      </c>
      <c r="E25" s="7" t="n">
        <v>4</v>
      </c>
      <c r="F25" s="7" t="inlineStr">
        <is>
          <t>Ebook</t>
        </is>
      </c>
    </row>
    <row r="26">
      <c r="A26" s="7" t="inlineStr">
        <is>
          <t>Sample book 22</t>
        </is>
      </c>
      <c r="B26" s="7" t="inlineStr">
        <is>
          <t>Author B</t>
        </is>
      </c>
      <c r="C26" s="13" t="n">
        <v>46242</v>
      </c>
      <c r="D26" s="7" t="n">
        <v>386</v>
      </c>
      <c r="E26" s="7" t="n">
        <v>4</v>
      </c>
      <c r="F26" s="7" t="inlineStr">
        <is>
          <t>Print</t>
        </is>
      </c>
    </row>
    <row r="27">
      <c r="A27" s="7" t="inlineStr">
        <is>
          <t>Sample book 23</t>
        </is>
      </c>
      <c r="B27" s="7" t="inlineStr">
        <is>
          <t>Author C</t>
        </is>
      </c>
      <c r="C27" s="13" t="n"/>
      <c r="D27" s="7" t="n">
        <v>386</v>
      </c>
      <c r="E27" s="7" t="n">
        <v>5</v>
      </c>
      <c r="F27" s="7" t="inlineStr">
        <is>
          <t>Audio</t>
        </is>
      </c>
    </row>
    <row r="28">
      <c r="A28" s="7" t="inlineStr">
        <is>
          <t>Sample book 24</t>
        </is>
      </c>
      <c r="B28" s="7" t="inlineStr">
        <is>
          <t>Author D</t>
        </is>
      </c>
      <c r="C28" s="13" t="n"/>
      <c r="D28" s="7" t="n">
        <v>230</v>
      </c>
      <c r="E28" s="7" t="n">
        <v>2</v>
      </c>
      <c r="F28" s="7" t="inlineStr">
        <is>
          <t>Ebook</t>
        </is>
      </c>
    </row>
    <row r="29">
      <c r="A29" s="7" t="inlineStr">
        <is>
          <t>Sample book 25</t>
        </is>
      </c>
      <c r="B29" s="7" t="inlineStr">
        <is>
          <t>Author E</t>
        </is>
      </c>
      <c r="C29" s="13" t="n"/>
      <c r="D29" s="7" t="n">
        <v>151</v>
      </c>
      <c r="E29" s="7" t="n">
        <v>4</v>
      </c>
      <c r="F29" s="7" t="inlineStr">
        <is>
          <t>Ebook</t>
        </is>
      </c>
    </row>
  </sheetData>
  <dataValidations count="2">
    <dataValidation sqref="F5:F500" showDropDown="0" showInputMessage="0" showErrorMessage="0" allowBlank="0" type="list">
      <formula1>"Print,Ebook,Audio"</formula1>
    </dataValidation>
    <dataValidation sqref="E5:E500" showDropDown="0" showInputMessage="0" showErrorMessage="0" allowBlank="0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2026-10-20T21:08:44Z</dcterms:created>
  <dcterms:modified xmlns:dcterms="http://purl.org/dc/terms/" xmlns:xsi="http://www.w3.org/2001/XMLSchema-instance" xsi:type="dcterms:W3CDTF">2026-10-20T21:08:44Z</dcterms:modified>
</cp:coreProperties>
</file>