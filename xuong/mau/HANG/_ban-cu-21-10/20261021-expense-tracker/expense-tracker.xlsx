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&quot;$&quot;#,##0"/>
  </numFmts>
  <fonts count="8">
    <font>
      <name val="Calibri"/>
      <family val="2"/>
      <color theme="1"/>
      <sz val="11"/>
      <scheme val="minor"/>
    </font>
    <font>
      <color rgb="001A1A1A"/>
      <sz val="20"/>
    </font>
    <font>
      <color rgb="008B7E6F"/>
      <sz val="10"/>
    </font>
    <font>
      <b val="1"/>
      <color rgb="008B7E6F"/>
      <sz val="9"/>
    </font>
    <font>
      <color rgb="008B7E6F"/>
      <sz val="9"/>
    </font>
    <font>
      <b val="1"/>
      <color rgb="00FFFFFF"/>
      <sz val="10"/>
    </font>
    <font>
      <color rgb="001A1A1A"/>
      <sz val="10"/>
    </font>
    <font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E8833A"/>
      </patternFill>
    </fill>
    <fill>
      <patternFill patternType="solid">
        <fgColor rgb="00FFF4EA"/>
      </patternFill>
    </fill>
  </fills>
  <borders count="2">
    <border>
      <left/>
      <right/>
      <top/>
      <bottom/>
      <diagonal/>
    </border>
    <border>
      <bottom style="thin">
        <color rgb="00E8E0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6" fillId="3" borderId="1" pivotButton="0" quotePrefix="0" xfId="0"/>
    <xf numFmtId="166" fontId="7" fillId="0" borderId="1" pivotButton="0" quotePrefix="0" xfId="0"/>
    <xf numFmtId="0" fontId="6" fillId="0" borderId="1" pivotButton="0" quotePrefix="0" xfId="0"/>
    <xf numFmtId="164" fontId="6" fillId="3" borderId="1" pivotButton="0" quotePrefix="0" xfId="0"/>
    <xf numFmtId="165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Spending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'Summary'!$A$5:$A$12</f>
            </numRef>
          </cat>
          <val>
            <numRef>
              <f>'Summary'!$N$5:$N$12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8833A"/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0" customHeight="1">
      <c r="A1" s="1" t="inlineStr">
        <is>
          <t>Expense Tracker</t>
        </is>
      </c>
    </row>
    <row r="2">
      <c r="A2" s="2" t="inlineStr">
        <is>
          <t>Free template · templates.snoutsmith.com</t>
        </is>
      </c>
    </row>
    <row r="4">
      <c r="B4" s="3" t="inlineStr">
        <is>
          <t>WHAT IT DOES</t>
        </is>
      </c>
    </row>
    <row r="5" ht="34" customHeight="1">
      <c r="B5" s="4" t="inlineStr">
        <is>
          <t>Log expenses with a category dropdown and see totals by category and by month for the whole year, with a chart.</t>
        </is>
      </c>
    </row>
    <row r="7">
      <c r="B7" s="3" t="inlineStr">
        <is>
          <t>HOW TO USE</t>
        </is>
      </c>
    </row>
    <row r="8">
      <c r="B8" s="4" t="inlineStr">
        <is>
          <t>1. Add each expense on Expenses: date, category, amount, payment method.</t>
        </is>
      </c>
    </row>
    <row r="9">
      <c r="B9" s="4" t="inlineStr">
        <is>
          <t>2. Summary fills in totals per category and month automatically.</t>
        </is>
      </c>
    </row>
    <row r="10">
      <c r="B10" s="4" t="inlineStr">
        <is>
          <t>3. Edit the category list on Summary column A.</t>
        </is>
      </c>
    </row>
    <row r="12">
      <c r="B12" s="3" t="inlineStr">
        <is>
          <t>GOOD TO KNOW</t>
        </is>
      </c>
    </row>
    <row r="13">
      <c r="B13" s="4" t="inlineStr">
        <is>
          <t>• Works for any currency – change the number format if you like.</t>
        </is>
      </c>
    </row>
    <row r="14">
      <c r="B14" s="4" t="inlineStr">
        <is>
          <t>• Delete the sample rows (5–104) to start fresh.</t>
        </is>
      </c>
    </row>
    <row r="16">
      <c r="B16" s="5" t="inlineStr">
        <is>
          <t>Tinted cells are yours to type in. Grey numbers are formulas – leave them. Works in Google Sheets (File → Import or open the .xlsx) and Excel, free plans, no add-ons or scripts.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E0D5"/>
    <outlinePr summaryBelow="1" summaryRight="1"/>
    <pageSetUpPr/>
  </sheetPr>
  <dimension ref="A1:N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1" t="inlineStr">
        <is>
          <t>Summary</t>
        </is>
      </c>
    </row>
    <row r="2">
      <c r="A2" s="2" t="inlineStr">
        <is>
          <t>2026 by category and month</t>
        </is>
      </c>
    </row>
    <row r="4" ht="22" customHeight="1">
      <c r="A4" s="6" t="inlineStr">
        <is>
          <t>Category</t>
        </is>
      </c>
      <c r="B4" s="6" t="inlineStr">
        <is>
          <t>Jan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Apr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Aug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Dec</t>
        </is>
      </c>
      <c r="N4" s="6" t="inlineStr">
        <is>
          <t>Year</t>
        </is>
      </c>
    </row>
    <row r="5">
      <c r="A5" s="7" t="inlineStr">
        <is>
          <t>Housing</t>
        </is>
      </c>
      <c r="B5" s="8">
        <f>SUMIFS(Expenses!$C$5:$C$1000,Expenses!$B$5:$B$1000,$A5,Expenses!$A$5:$A$1000,"&gt;="&amp;DATE(2026,1,1),Expenses!$A$5:$A$1000,"&lt;"&amp;DATE(2026,2,1))</f>
        <v/>
      </c>
      <c r="C5" s="8">
        <f>SUMIFS(Expenses!$C$5:$C$1000,Expenses!$B$5:$B$1000,$A5,Expenses!$A$5:$A$1000,"&gt;="&amp;DATE(2026,2,1),Expenses!$A$5:$A$1000,"&lt;"&amp;DATE(2026,3,1))</f>
        <v/>
      </c>
      <c r="D5" s="8">
        <f>SUMIFS(Expenses!$C$5:$C$1000,Expenses!$B$5:$B$1000,$A5,Expenses!$A$5:$A$1000,"&gt;="&amp;DATE(2026,3,1),Expenses!$A$5:$A$1000,"&lt;"&amp;DATE(2026,4,1))</f>
        <v/>
      </c>
      <c r="E5" s="8">
        <f>SUMIFS(Expenses!$C$5:$C$1000,Expenses!$B$5:$B$1000,$A5,Expenses!$A$5:$A$1000,"&gt;="&amp;DATE(2026,4,1),Expenses!$A$5:$A$1000,"&lt;"&amp;DATE(2026,5,1))</f>
        <v/>
      </c>
      <c r="F5" s="8">
        <f>SUMIFS(Expenses!$C$5:$C$1000,Expenses!$B$5:$B$1000,$A5,Expenses!$A$5:$A$1000,"&gt;="&amp;DATE(2026,5,1),Expenses!$A$5:$A$1000,"&lt;"&amp;DATE(2026,6,1))</f>
        <v/>
      </c>
      <c r="G5" s="8">
        <f>SUMIFS(Expenses!$C$5:$C$1000,Expenses!$B$5:$B$1000,$A5,Expenses!$A$5:$A$1000,"&gt;="&amp;DATE(2026,6,1),Expenses!$A$5:$A$1000,"&lt;"&amp;DATE(2026,7,1))</f>
        <v/>
      </c>
      <c r="H5" s="8">
        <f>SUMIFS(Expenses!$C$5:$C$1000,Expenses!$B$5:$B$1000,$A5,Expenses!$A$5:$A$1000,"&gt;="&amp;DATE(2026,7,1),Expenses!$A$5:$A$1000,"&lt;"&amp;DATE(2026,8,1))</f>
        <v/>
      </c>
      <c r="I5" s="8">
        <f>SUMIFS(Expenses!$C$5:$C$1000,Expenses!$B$5:$B$1000,$A5,Expenses!$A$5:$A$1000,"&gt;="&amp;DATE(2026,8,1),Expenses!$A$5:$A$1000,"&lt;"&amp;DATE(2026,9,1))</f>
        <v/>
      </c>
      <c r="J5" s="8">
        <f>SUMIFS(Expenses!$C$5:$C$1000,Expenses!$B$5:$B$1000,$A5,Expenses!$A$5:$A$1000,"&gt;="&amp;DATE(2026,9,1),Expenses!$A$5:$A$1000,"&lt;"&amp;DATE(2026,10,1))</f>
        <v/>
      </c>
      <c r="K5" s="8">
        <f>SUMIFS(Expenses!$C$5:$C$1000,Expenses!$B$5:$B$1000,$A5,Expenses!$A$5:$A$1000,"&gt;="&amp;DATE(2026,10,1),Expenses!$A$5:$A$1000,"&lt;"&amp;DATE(2026,11,1))</f>
        <v/>
      </c>
      <c r="L5" s="8">
        <f>SUMIFS(Expenses!$C$5:$C$1000,Expenses!$B$5:$B$1000,$A5,Expenses!$A$5:$A$1000,"&gt;="&amp;DATE(2026,11,1),Expenses!$A$5:$A$1000,"&lt;"&amp;DATE(2026,12,1))</f>
        <v/>
      </c>
      <c r="M5" s="8">
        <f>SUMIFS(Expenses!$C$5:$C$1000,Expenses!$B$5:$B$1000,$A5,Expenses!$A$5:$A$1000,"&gt;="&amp;DATE(2026,12,1),Expenses!$A$5:$A$1000,"&lt;"&amp;DATE(2027,1,1))</f>
        <v/>
      </c>
      <c r="N5" s="8">
        <f>SUM(B5:M5)</f>
        <v/>
      </c>
    </row>
    <row r="6">
      <c r="A6" s="7" t="inlineStr">
        <is>
          <t>Food</t>
        </is>
      </c>
      <c r="B6" s="8">
        <f>SUMIFS(Expenses!$C$5:$C$1000,Expenses!$B$5:$B$1000,$A6,Expenses!$A$5:$A$1000,"&gt;="&amp;DATE(2026,1,1),Expenses!$A$5:$A$1000,"&lt;"&amp;DATE(2026,2,1))</f>
        <v/>
      </c>
      <c r="C6" s="8">
        <f>SUMIFS(Expenses!$C$5:$C$1000,Expenses!$B$5:$B$1000,$A6,Expenses!$A$5:$A$1000,"&gt;="&amp;DATE(2026,2,1),Expenses!$A$5:$A$1000,"&lt;"&amp;DATE(2026,3,1))</f>
        <v/>
      </c>
      <c r="D6" s="8">
        <f>SUMIFS(Expenses!$C$5:$C$1000,Expenses!$B$5:$B$1000,$A6,Expenses!$A$5:$A$1000,"&gt;="&amp;DATE(2026,3,1),Expenses!$A$5:$A$1000,"&lt;"&amp;DATE(2026,4,1))</f>
        <v/>
      </c>
      <c r="E6" s="8">
        <f>SUMIFS(Expenses!$C$5:$C$1000,Expenses!$B$5:$B$1000,$A6,Expenses!$A$5:$A$1000,"&gt;="&amp;DATE(2026,4,1),Expenses!$A$5:$A$1000,"&lt;"&amp;DATE(2026,5,1))</f>
        <v/>
      </c>
      <c r="F6" s="8">
        <f>SUMIFS(Expenses!$C$5:$C$1000,Expenses!$B$5:$B$1000,$A6,Expenses!$A$5:$A$1000,"&gt;="&amp;DATE(2026,5,1),Expenses!$A$5:$A$1000,"&lt;"&amp;DATE(2026,6,1))</f>
        <v/>
      </c>
      <c r="G6" s="8">
        <f>SUMIFS(Expenses!$C$5:$C$1000,Expenses!$B$5:$B$1000,$A6,Expenses!$A$5:$A$1000,"&gt;="&amp;DATE(2026,6,1),Expenses!$A$5:$A$1000,"&lt;"&amp;DATE(2026,7,1))</f>
        <v/>
      </c>
      <c r="H6" s="8">
        <f>SUMIFS(Expenses!$C$5:$C$1000,Expenses!$B$5:$B$1000,$A6,Expenses!$A$5:$A$1000,"&gt;="&amp;DATE(2026,7,1),Expenses!$A$5:$A$1000,"&lt;"&amp;DATE(2026,8,1))</f>
        <v/>
      </c>
      <c r="I6" s="8">
        <f>SUMIFS(Expenses!$C$5:$C$1000,Expenses!$B$5:$B$1000,$A6,Expenses!$A$5:$A$1000,"&gt;="&amp;DATE(2026,8,1),Expenses!$A$5:$A$1000,"&lt;"&amp;DATE(2026,9,1))</f>
        <v/>
      </c>
      <c r="J6" s="8">
        <f>SUMIFS(Expenses!$C$5:$C$1000,Expenses!$B$5:$B$1000,$A6,Expenses!$A$5:$A$1000,"&gt;="&amp;DATE(2026,9,1),Expenses!$A$5:$A$1000,"&lt;"&amp;DATE(2026,10,1))</f>
        <v/>
      </c>
      <c r="K6" s="8">
        <f>SUMIFS(Expenses!$C$5:$C$1000,Expenses!$B$5:$B$1000,$A6,Expenses!$A$5:$A$1000,"&gt;="&amp;DATE(2026,10,1),Expenses!$A$5:$A$1000,"&lt;"&amp;DATE(2026,11,1))</f>
        <v/>
      </c>
      <c r="L6" s="8">
        <f>SUMIFS(Expenses!$C$5:$C$1000,Expenses!$B$5:$B$1000,$A6,Expenses!$A$5:$A$1000,"&gt;="&amp;DATE(2026,11,1),Expenses!$A$5:$A$1000,"&lt;"&amp;DATE(2026,12,1))</f>
        <v/>
      </c>
      <c r="M6" s="8">
        <f>SUMIFS(Expenses!$C$5:$C$1000,Expenses!$B$5:$B$1000,$A6,Expenses!$A$5:$A$1000,"&gt;="&amp;DATE(2026,12,1),Expenses!$A$5:$A$1000,"&lt;"&amp;DATE(2027,1,1))</f>
        <v/>
      </c>
      <c r="N6" s="8">
        <f>SUM(B6:M6)</f>
        <v/>
      </c>
    </row>
    <row r="7">
      <c r="A7" s="7" t="inlineStr">
        <is>
          <t>Transport</t>
        </is>
      </c>
      <c r="B7" s="8">
        <f>SUMIFS(Expenses!$C$5:$C$1000,Expenses!$B$5:$B$1000,$A7,Expenses!$A$5:$A$1000,"&gt;="&amp;DATE(2026,1,1),Expenses!$A$5:$A$1000,"&lt;"&amp;DATE(2026,2,1))</f>
        <v/>
      </c>
      <c r="C7" s="8">
        <f>SUMIFS(Expenses!$C$5:$C$1000,Expenses!$B$5:$B$1000,$A7,Expenses!$A$5:$A$1000,"&gt;="&amp;DATE(2026,2,1),Expenses!$A$5:$A$1000,"&lt;"&amp;DATE(2026,3,1))</f>
        <v/>
      </c>
      <c r="D7" s="8">
        <f>SUMIFS(Expenses!$C$5:$C$1000,Expenses!$B$5:$B$1000,$A7,Expenses!$A$5:$A$1000,"&gt;="&amp;DATE(2026,3,1),Expenses!$A$5:$A$1000,"&lt;"&amp;DATE(2026,4,1))</f>
        <v/>
      </c>
      <c r="E7" s="8">
        <f>SUMIFS(Expenses!$C$5:$C$1000,Expenses!$B$5:$B$1000,$A7,Expenses!$A$5:$A$1000,"&gt;="&amp;DATE(2026,4,1),Expenses!$A$5:$A$1000,"&lt;"&amp;DATE(2026,5,1))</f>
        <v/>
      </c>
      <c r="F7" s="8">
        <f>SUMIFS(Expenses!$C$5:$C$1000,Expenses!$B$5:$B$1000,$A7,Expenses!$A$5:$A$1000,"&gt;="&amp;DATE(2026,5,1),Expenses!$A$5:$A$1000,"&lt;"&amp;DATE(2026,6,1))</f>
        <v/>
      </c>
      <c r="G7" s="8">
        <f>SUMIFS(Expenses!$C$5:$C$1000,Expenses!$B$5:$B$1000,$A7,Expenses!$A$5:$A$1000,"&gt;="&amp;DATE(2026,6,1),Expenses!$A$5:$A$1000,"&lt;"&amp;DATE(2026,7,1))</f>
        <v/>
      </c>
      <c r="H7" s="8">
        <f>SUMIFS(Expenses!$C$5:$C$1000,Expenses!$B$5:$B$1000,$A7,Expenses!$A$5:$A$1000,"&gt;="&amp;DATE(2026,7,1),Expenses!$A$5:$A$1000,"&lt;"&amp;DATE(2026,8,1))</f>
        <v/>
      </c>
      <c r="I7" s="8">
        <f>SUMIFS(Expenses!$C$5:$C$1000,Expenses!$B$5:$B$1000,$A7,Expenses!$A$5:$A$1000,"&gt;="&amp;DATE(2026,8,1),Expenses!$A$5:$A$1000,"&lt;"&amp;DATE(2026,9,1))</f>
        <v/>
      </c>
      <c r="J7" s="8">
        <f>SUMIFS(Expenses!$C$5:$C$1000,Expenses!$B$5:$B$1000,$A7,Expenses!$A$5:$A$1000,"&gt;="&amp;DATE(2026,9,1),Expenses!$A$5:$A$1000,"&lt;"&amp;DATE(2026,10,1))</f>
        <v/>
      </c>
      <c r="K7" s="8">
        <f>SUMIFS(Expenses!$C$5:$C$1000,Expenses!$B$5:$B$1000,$A7,Expenses!$A$5:$A$1000,"&gt;="&amp;DATE(2026,10,1),Expenses!$A$5:$A$1000,"&lt;"&amp;DATE(2026,11,1))</f>
        <v/>
      </c>
      <c r="L7" s="8">
        <f>SUMIFS(Expenses!$C$5:$C$1000,Expenses!$B$5:$B$1000,$A7,Expenses!$A$5:$A$1000,"&gt;="&amp;DATE(2026,11,1),Expenses!$A$5:$A$1000,"&lt;"&amp;DATE(2026,12,1))</f>
        <v/>
      </c>
      <c r="M7" s="8">
        <f>SUMIFS(Expenses!$C$5:$C$1000,Expenses!$B$5:$B$1000,$A7,Expenses!$A$5:$A$1000,"&gt;="&amp;DATE(2026,12,1),Expenses!$A$5:$A$1000,"&lt;"&amp;DATE(2027,1,1))</f>
        <v/>
      </c>
      <c r="N7" s="8">
        <f>SUM(B7:M7)</f>
        <v/>
      </c>
    </row>
    <row r="8">
      <c r="A8" s="7" t="inlineStr">
        <is>
          <t>Health</t>
        </is>
      </c>
      <c r="B8" s="8">
        <f>SUMIFS(Expenses!$C$5:$C$1000,Expenses!$B$5:$B$1000,$A8,Expenses!$A$5:$A$1000,"&gt;="&amp;DATE(2026,1,1),Expenses!$A$5:$A$1000,"&lt;"&amp;DATE(2026,2,1))</f>
        <v/>
      </c>
      <c r="C8" s="8">
        <f>SUMIFS(Expenses!$C$5:$C$1000,Expenses!$B$5:$B$1000,$A8,Expenses!$A$5:$A$1000,"&gt;="&amp;DATE(2026,2,1),Expenses!$A$5:$A$1000,"&lt;"&amp;DATE(2026,3,1))</f>
        <v/>
      </c>
      <c r="D8" s="8">
        <f>SUMIFS(Expenses!$C$5:$C$1000,Expenses!$B$5:$B$1000,$A8,Expenses!$A$5:$A$1000,"&gt;="&amp;DATE(2026,3,1),Expenses!$A$5:$A$1000,"&lt;"&amp;DATE(2026,4,1))</f>
        <v/>
      </c>
      <c r="E8" s="8">
        <f>SUMIFS(Expenses!$C$5:$C$1000,Expenses!$B$5:$B$1000,$A8,Expenses!$A$5:$A$1000,"&gt;="&amp;DATE(2026,4,1),Expenses!$A$5:$A$1000,"&lt;"&amp;DATE(2026,5,1))</f>
        <v/>
      </c>
      <c r="F8" s="8">
        <f>SUMIFS(Expenses!$C$5:$C$1000,Expenses!$B$5:$B$1000,$A8,Expenses!$A$5:$A$1000,"&gt;="&amp;DATE(2026,5,1),Expenses!$A$5:$A$1000,"&lt;"&amp;DATE(2026,6,1))</f>
        <v/>
      </c>
      <c r="G8" s="8">
        <f>SUMIFS(Expenses!$C$5:$C$1000,Expenses!$B$5:$B$1000,$A8,Expenses!$A$5:$A$1000,"&gt;="&amp;DATE(2026,6,1),Expenses!$A$5:$A$1000,"&lt;"&amp;DATE(2026,7,1))</f>
        <v/>
      </c>
      <c r="H8" s="8">
        <f>SUMIFS(Expenses!$C$5:$C$1000,Expenses!$B$5:$B$1000,$A8,Expenses!$A$5:$A$1000,"&gt;="&amp;DATE(2026,7,1),Expenses!$A$5:$A$1000,"&lt;"&amp;DATE(2026,8,1))</f>
        <v/>
      </c>
      <c r="I8" s="8">
        <f>SUMIFS(Expenses!$C$5:$C$1000,Expenses!$B$5:$B$1000,$A8,Expenses!$A$5:$A$1000,"&gt;="&amp;DATE(2026,8,1),Expenses!$A$5:$A$1000,"&lt;"&amp;DATE(2026,9,1))</f>
        <v/>
      </c>
      <c r="J8" s="8">
        <f>SUMIFS(Expenses!$C$5:$C$1000,Expenses!$B$5:$B$1000,$A8,Expenses!$A$5:$A$1000,"&gt;="&amp;DATE(2026,9,1),Expenses!$A$5:$A$1000,"&lt;"&amp;DATE(2026,10,1))</f>
        <v/>
      </c>
      <c r="K8" s="8">
        <f>SUMIFS(Expenses!$C$5:$C$1000,Expenses!$B$5:$B$1000,$A8,Expenses!$A$5:$A$1000,"&gt;="&amp;DATE(2026,10,1),Expenses!$A$5:$A$1000,"&lt;"&amp;DATE(2026,11,1))</f>
        <v/>
      </c>
      <c r="L8" s="8">
        <f>SUMIFS(Expenses!$C$5:$C$1000,Expenses!$B$5:$B$1000,$A8,Expenses!$A$5:$A$1000,"&gt;="&amp;DATE(2026,11,1),Expenses!$A$5:$A$1000,"&lt;"&amp;DATE(2026,12,1))</f>
        <v/>
      </c>
      <c r="M8" s="8">
        <f>SUMIFS(Expenses!$C$5:$C$1000,Expenses!$B$5:$B$1000,$A8,Expenses!$A$5:$A$1000,"&gt;="&amp;DATE(2026,12,1),Expenses!$A$5:$A$1000,"&lt;"&amp;DATE(2027,1,1))</f>
        <v/>
      </c>
      <c r="N8" s="8">
        <f>SUM(B8:M8)</f>
        <v/>
      </c>
    </row>
    <row r="9">
      <c r="A9" s="7" t="inlineStr">
        <is>
          <t>Fun</t>
        </is>
      </c>
      <c r="B9" s="8">
        <f>SUMIFS(Expenses!$C$5:$C$1000,Expenses!$B$5:$B$1000,$A9,Expenses!$A$5:$A$1000,"&gt;="&amp;DATE(2026,1,1),Expenses!$A$5:$A$1000,"&lt;"&amp;DATE(2026,2,1))</f>
        <v/>
      </c>
      <c r="C9" s="8">
        <f>SUMIFS(Expenses!$C$5:$C$1000,Expenses!$B$5:$B$1000,$A9,Expenses!$A$5:$A$1000,"&gt;="&amp;DATE(2026,2,1),Expenses!$A$5:$A$1000,"&lt;"&amp;DATE(2026,3,1))</f>
        <v/>
      </c>
      <c r="D9" s="8">
        <f>SUMIFS(Expenses!$C$5:$C$1000,Expenses!$B$5:$B$1000,$A9,Expenses!$A$5:$A$1000,"&gt;="&amp;DATE(2026,3,1),Expenses!$A$5:$A$1000,"&lt;"&amp;DATE(2026,4,1))</f>
        <v/>
      </c>
      <c r="E9" s="8">
        <f>SUMIFS(Expenses!$C$5:$C$1000,Expenses!$B$5:$B$1000,$A9,Expenses!$A$5:$A$1000,"&gt;="&amp;DATE(2026,4,1),Expenses!$A$5:$A$1000,"&lt;"&amp;DATE(2026,5,1))</f>
        <v/>
      </c>
      <c r="F9" s="8">
        <f>SUMIFS(Expenses!$C$5:$C$1000,Expenses!$B$5:$B$1000,$A9,Expenses!$A$5:$A$1000,"&gt;="&amp;DATE(2026,5,1),Expenses!$A$5:$A$1000,"&lt;"&amp;DATE(2026,6,1))</f>
        <v/>
      </c>
      <c r="G9" s="8">
        <f>SUMIFS(Expenses!$C$5:$C$1000,Expenses!$B$5:$B$1000,$A9,Expenses!$A$5:$A$1000,"&gt;="&amp;DATE(2026,6,1),Expenses!$A$5:$A$1000,"&lt;"&amp;DATE(2026,7,1))</f>
        <v/>
      </c>
      <c r="H9" s="8">
        <f>SUMIFS(Expenses!$C$5:$C$1000,Expenses!$B$5:$B$1000,$A9,Expenses!$A$5:$A$1000,"&gt;="&amp;DATE(2026,7,1),Expenses!$A$5:$A$1000,"&lt;"&amp;DATE(2026,8,1))</f>
        <v/>
      </c>
      <c r="I9" s="8">
        <f>SUMIFS(Expenses!$C$5:$C$1000,Expenses!$B$5:$B$1000,$A9,Expenses!$A$5:$A$1000,"&gt;="&amp;DATE(2026,8,1),Expenses!$A$5:$A$1000,"&lt;"&amp;DATE(2026,9,1))</f>
        <v/>
      </c>
      <c r="J9" s="8">
        <f>SUMIFS(Expenses!$C$5:$C$1000,Expenses!$B$5:$B$1000,$A9,Expenses!$A$5:$A$1000,"&gt;="&amp;DATE(2026,9,1),Expenses!$A$5:$A$1000,"&lt;"&amp;DATE(2026,10,1))</f>
        <v/>
      </c>
      <c r="K9" s="8">
        <f>SUMIFS(Expenses!$C$5:$C$1000,Expenses!$B$5:$B$1000,$A9,Expenses!$A$5:$A$1000,"&gt;="&amp;DATE(2026,10,1),Expenses!$A$5:$A$1000,"&lt;"&amp;DATE(2026,11,1))</f>
        <v/>
      </c>
      <c r="L9" s="8">
        <f>SUMIFS(Expenses!$C$5:$C$1000,Expenses!$B$5:$B$1000,$A9,Expenses!$A$5:$A$1000,"&gt;="&amp;DATE(2026,11,1),Expenses!$A$5:$A$1000,"&lt;"&amp;DATE(2026,12,1))</f>
        <v/>
      </c>
      <c r="M9" s="8">
        <f>SUMIFS(Expenses!$C$5:$C$1000,Expenses!$B$5:$B$1000,$A9,Expenses!$A$5:$A$1000,"&gt;="&amp;DATE(2026,12,1),Expenses!$A$5:$A$1000,"&lt;"&amp;DATE(2027,1,1))</f>
        <v/>
      </c>
      <c r="N9" s="8">
        <f>SUM(B9:M9)</f>
        <v/>
      </c>
    </row>
    <row r="10">
      <c r="A10" s="7" t="inlineStr">
        <is>
          <t>Shopping</t>
        </is>
      </c>
      <c r="B10" s="8">
        <f>SUMIFS(Expenses!$C$5:$C$1000,Expenses!$B$5:$B$1000,$A10,Expenses!$A$5:$A$1000,"&gt;="&amp;DATE(2026,1,1),Expenses!$A$5:$A$1000,"&lt;"&amp;DATE(2026,2,1))</f>
        <v/>
      </c>
      <c r="C10" s="8">
        <f>SUMIFS(Expenses!$C$5:$C$1000,Expenses!$B$5:$B$1000,$A10,Expenses!$A$5:$A$1000,"&gt;="&amp;DATE(2026,2,1),Expenses!$A$5:$A$1000,"&lt;"&amp;DATE(2026,3,1))</f>
        <v/>
      </c>
      <c r="D10" s="8">
        <f>SUMIFS(Expenses!$C$5:$C$1000,Expenses!$B$5:$B$1000,$A10,Expenses!$A$5:$A$1000,"&gt;="&amp;DATE(2026,3,1),Expenses!$A$5:$A$1000,"&lt;"&amp;DATE(2026,4,1))</f>
        <v/>
      </c>
      <c r="E10" s="8">
        <f>SUMIFS(Expenses!$C$5:$C$1000,Expenses!$B$5:$B$1000,$A10,Expenses!$A$5:$A$1000,"&gt;="&amp;DATE(2026,4,1),Expenses!$A$5:$A$1000,"&lt;"&amp;DATE(2026,5,1))</f>
        <v/>
      </c>
      <c r="F10" s="8">
        <f>SUMIFS(Expenses!$C$5:$C$1000,Expenses!$B$5:$B$1000,$A10,Expenses!$A$5:$A$1000,"&gt;="&amp;DATE(2026,5,1),Expenses!$A$5:$A$1000,"&lt;"&amp;DATE(2026,6,1))</f>
        <v/>
      </c>
      <c r="G10" s="8">
        <f>SUMIFS(Expenses!$C$5:$C$1000,Expenses!$B$5:$B$1000,$A10,Expenses!$A$5:$A$1000,"&gt;="&amp;DATE(2026,6,1),Expenses!$A$5:$A$1000,"&lt;"&amp;DATE(2026,7,1))</f>
        <v/>
      </c>
      <c r="H10" s="8">
        <f>SUMIFS(Expenses!$C$5:$C$1000,Expenses!$B$5:$B$1000,$A10,Expenses!$A$5:$A$1000,"&gt;="&amp;DATE(2026,7,1),Expenses!$A$5:$A$1000,"&lt;"&amp;DATE(2026,8,1))</f>
        <v/>
      </c>
      <c r="I10" s="8">
        <f>SUMIFS(Expenses!$C$5:$C$1000,Expenses!$B$5:$B$1000,$A10,Expenses!$A$5:$A$1000,"&gt;="&amp;DATE(2026,8,1),Expenses!$A$5:$A$1000,"&lt;"&amp;DATE(2026,9,1))</f>
        <v/>
      </c>
      <c r="J10" s="8">
        <f>SUMIFS(Expenses!$C$5:$C$1000,Expenses!$B$5:$B$1000,$A10,Expenses!$A$5:$A$1000,"&gt;="&amp;DATE(2026,9,1),Expenses!$A$5:$A$1000,"&lt;"&amp;DATE(2026,10,1))</f>
        <v/>
      </c>
      <c r="K10" s="8">
        <f>SUMIFS(Expenses!$C$5:$C$1000,Expenses!$B$5:$B$1000,$A10,Expenses!$A$5:$A$1000,"&gt;="&amp;DATE(2026,10,1),Expenses!$A$5:$A$1000,"&lt;"&amp;DATE(2026,11,1))</f>
        <v/>
      </c>
      <c r="L10" s="8">
        <f>SUMIFS(Expenses!$C$5:$C$1000,Expenses!$B$5:$B$1000,$A10,Expenses!$A$5:$A$1000,"&gt;="&amp;DATE(2026,11,1),Expenses!$A$5:$A$1000,"&lt;"&amp;DATE(2026,12,1))</f>
        <v/>
      </c>
      <c r="M10" s="8">
        <f>SUMIFS(Expenses!$C$5:$C$1000,Expenses!$B$5:$B$1000,$A10,Expenses!$A$5:$A$1000,"&gt;="&amp;DATE(2026,12,1),Expenses!$A$5:$A$1000,"&lt;"&amp;DATE(2027,1,1))</f>
        <v/>
      </c>
      <c r="N10" s="8">
        <f>SUM(B10:M10)</f>
        <v/>
      </c>
    </row>
    <row r="11">
      <c r="A11" s="7" t="inlineStr">
        <is>
          <t>Bills</t>
        </is>
      </c>
      <c r="B11" s="8">
        <f>SUMIFS(Expenses!$C$5:$C$1000,Expenses!$B$5:$B$1000,$A11,Expenses!$A$5:$A$1000,"&gt;="&amp;DATE(2026,1,1),Expenses!$A$5:$A$1000,"&lt;"&amp;DATE(2026,2,1))</f>
        <v/>
      </c>
      <c r="C11" s="8">
        <f>SUMIFS(Expenses!$C$5:$C$1000,Expenses!$B$5:$B$1000,$A11,Expenses!$A$5:$A$1000,"&gt;="&amp;DATE(2026,2,1),Expenses!$A$5:$A$1000,"&lt;"&amp;DATE(2026,3,1))</f>
        <v/>
      </c>
      <c r="D11" s="8">
        <f>SUMIFS(Expenses!$C$5:$C$1000,Expenses!$B$5:$B$1000,$A11,Expenses!$A$5:$A$1000,"&gt;="&amp;DATE(2026,3,1),Expenses!$A$5:$A$1000,"&lt;"&amp;DATE(2026,4,1))</f>
        <v/>
      </c>
      <c r="E11" s="8">
        <f>SUMIFS(Expenses!$C$5:$C$1000,Expenses!$B$5:$B$1000,$A11,Expenses!$A$5:$A$1000,"&gt;="&amp;DATE(2026,4,1),Expenses!$A$5:$A$1000,"&lt;"&amp;DATE(2026,5,1))</f>
        <v/>
      </c>
      <c r="F11" s="8">
        <f>SUMIFS(Expenses!$C$5:$C$1000,Expenses!$B$5:$B$1000,$A11,Expenses!$A$5:$A$1000,"&gt;="&amp;DATE(2026,5,1),Expenses!$A$5:$A$1000,"&lt;"&amp;DATE(2026,6,1))</f>
        <v/>
      </c>
      <c r="G11" s="8">
        <f>SUMIFS(Expenses!$C$5:$C$1000,Expenses!$B$5:$B$1000,$A11,Expenses!$A$5:$A$1000,"&gt;="&amp;DATE(2026,6,1),Expenses!$A$5:$A$1000,"&lt;"&amp;DATE(2026,7,1))</f>
        <v/>
      </c>
      <c r="H11" s="8">
        <f>SUMIFS(Expenses!$C$5:$C$1000,Expenses!$B$5:$B$1000,$A11,Expenses!$A$5:$A$1000,"&gt;="&amp;DATE(2026,7,1),Expenses!$A$5:$A$1000,"&lt;"&amp;DATE(2026,8,1))</f>
        <v/>
      </c>
      <c r="I11" s="8">
        <f>SUMIFS(Expenses!$C$5:$C$1000,Expenses!$B$5:$B$1000,$A11,Expenses!$A$5:$A$1000,"&gt;="&amp;DATE(2026,8,1),Expenses!$A$5:$A$1000,"&lt;"&amp;DATE(2026,9,1))</f>
        <v/>
      </c>
      <c r="J11" s="8">
        <f>SUMIFS(Expenses!$C$5:$C$1000,Expenses!$B$5:$B$1000,$A11,Expenses!$A$5:$A$1000,"&gt;="&amp;DATE(2026,9,1),Expenses!$A$5:$A$1000,"&lt;"&amp;DATE(2026,10,1))</f>
        <v/>
      </c>
      <c r="K11" s="8">
        <f>SUMIFS(Expenses!$C$5:$C$1000,Expenses!$B$5:$B$1000,$A11,Expenses!$A$5:$A$1000,"&gt;="&amp;DATE(2026,10,1),Expenses!$A$5:$A$1000,"&lt;"&amp;DATE(2026,11,1))</f>
        <v/>
      </c>
      <c r="L11" s="8">
        <f>SUMIFS(Expenses!$C$5:$C$1000,Expenses!$B$5:$B$1000,$A11,Expenses!$A$5:$A$1000,"&gt;="&amp;DATE(2026,11,1),Expenses!$A$5:$A$1000,"&lt;"&amp;DATE(2026,12,1))</f>
        <v/>
      </c>
      <c r="M11" s="8">
        <f>SUMIFS(Expenses!$C$5:$C$1000,Expenses!$B$5:$B$1000,$A11,Expenses!$A$5:$A$1000,"&gt;="&amp;DATE(2026,12,1),Expenses!$A$5:$A$1000,"&lt;"&amp;DATE(2027,1,1))</f>
        <v/>
      </c>
      <c r="N11" s="8">
        <f>SUM(B11:M11)</f>
        <v/>
      </c>
    </row>
    <row r="12">
      <c r="A12" s="7" t="inlineStr">
        <is>
          <t>Other</t>
        </is>
      </c>
      <c r="B12" s="8">
        <f>SUMIFS(Expenses!$C$5:$C$1000,Expenses!$B$5:$B$1000,$A12,Expenses!$A$5:$A$1000,"&gt;="&amp;DATE(2026,1,1),Expenses!$A$5:$A$1000,"&lt;"&amp;DATE(2026,2,1))</f>
        <v/>
      </c>
      <c r="C12" s="8">
        <f>SUMIFS(Expenses!$C$5:$C$1000,Expenses!$B$5:$B$1000,$A12,Expenses!$A$5:$A$1000,"&gt;="&amp;DATE(2026,2,1),Expenses!$A$5:$A$1000,"&lt;"&amp;DATE(2026,3,1))</f>
        <v/>
      </c>
      <c r="D12" s="8">
        <f>SUMIFS(Expenses!$C$5:$C$1000,Expenses!$B$5:$B$1000,$A12,Expenses!$A$5:$A$1000,"&gt;="&amp;DATE(2026,3,1),Expenses!$A$5:$A$1000,"&lt;"&amp;DATE(2026,4,1))</f>
        <v/>
      </c>
      <c r="E12" s="8">
        <f>SUMIFS(Expenses!$C$5:$C$1000,Expenses!$B$5:$B$1000,$A12,Expenses!$A$5:$A$1000,"&gt;="&amp;DATE(2026,4,1),Expenses!$A$5:$A$1000,"&lt;"&amp;DATE(2026,5,1))</f>
        <v/>
      </c>
      <c r="F12" s="8">
        <f>SUMIFS(Expenses!$C$5:$C$1000,Expenses!$B$5:$B$1000,$A12,Expenses!$A$5:$A$1000,"&gt;="&amp;DATE(2026,5,1),Expenses!$A$5:$A$1000,"&lt;"&amp;DATE(2026,6,1))</f>
        <v/>
      </c>
      <c r="G12" s="8">
        <f>SUMIFS(Expenses!$C$5:$C$1000,Expenses!$B$5:$B$1000,$A12,Expenses!$A$5:$A$1000,"&gt;="&amp;DATE(2026,6,1),Expenses!$A$5:$A$1000,"&lt;"&amp;DATE(2026,7,1))</f>
        <v/>
      </c>
      <c r="H12" s="8">
        <f>SUMIFS(Expenses!$C$5:$C$1000,Expenses!$B$5:$B$1000,$A12,Expenses!$A$5:$A$1000,"&gt;="&amp;DATE(2026,7,1),Expenses!$A$5:$A$1000,"&lt;"&amp;DATE(2026,8,1))</f>
        <v/>
      </c>
      <c r="I12" s="8">
        <f>SUMIFS(Expenses!$C$5:$C$1000,Expenses!$B$5:$B$1000,$A12,Expenses!$A$5:$A$1000,"&gt;="&amp;DATE(2026,8,1),Expenses!$A$5:$A$1000,"&lt;"&amp;DATE(2026,9,1))</f>
        <v/>
      </c>
      <c r="J12" s="8">
        <f>SUMIFS(Expenses!$C$5:$C$1000,Expenses!$B$5:$B$1000,$A12,Expenses!$A$5:$A$1000,"&gt;="&amp;DATE(2026,9,1),Expenses!$A$5:$A$1000,"&lt;"&amp;DATE(2026,10,1))</f>
        <v/>
      </c>
      <c r="K12" s="8">
        <f>SUMIFS(Expenses!$C$5:$C$1000,Expenses!$B$5:$B$1000,$A12,Expenses!$A$5:$A$1000,"&gt;="&amp;DATE(2026,10,1),Expenses!$A$5:$A$1000,"&lt;"&amp;DATE(2026,11,1))</f>
        <v/>
      </c>
      <c r="L12" s="8">
        <f>SUMIFS(Expenses!$C$5:$C$1000,Expenses!$B$5:$B$1000,$A12,Expenses!$A$5:$A$1000,"&gt;="&amp;DATE(2026,11,1),Expenses!$A$5:$A$1000,"&lt;"&amp;DATE(2026,12,1))</f>
        <v/>
      </c>
      <c r="M12" s="8">
        <f>SUMIFS(Expenses!$C$5:$C$1000,Expenses!$B$5:$B$1000,$A12,Expenses!$A$5:$A$1000,"&gt;="&amp;DATE(2026,12,1),Expenses!$A$5:$A$1000,"&lt;"&amp;DATE(2027,1,1))</f>
        <v/>
      </c>
      <c r="N12" s="8">
        <f>SUM(B12:M12)</f>
        <v/>
      </c>
    </row>
    <row r="13">
      <c r="A13" s="9" t="inlineStr">
        <is>
          <t>Total</t>
        </is>
      </c>
      <c r="B13" s="8">
        <f>SUM(B5:B12)</f>
        <v/>
      </c>
      <c r="C13" s="8">
        <f>SUM(C5:C12)</f>
        <v/>
      </c>
      <c r="D13" s="8">
        <f>SUM(D5:D12)</f>
        <v/>
      </c>
      <c r="E13" s="8">
        <f>SUM(E5:E12)</f>
        <v/>
      </c>
      <c r="F13" s="8">
        <f>SUM(F5:F12)</f>
        <v/>
      </c>
      <c r="G13" s="8">
        <f>SUM(G5:G12)</f>
        <v/>
      </c>
      <c r="H13" s="8">
        <f>SUM(H5:H12)</f>
        <v/>
      </c>
      <c r="I13" s="8">
        <f>SUM(I5:I12)</f>
        <v/>
      </c>
      <c r="J13" s="8">
        <f>SUM(J5:J12)</f>
        <v/>
      </c>
      <c r="K13" s="8">
        <f>SUM(K5:K12)</f>
        <v/>
      </c>
      <c r="L13" s="8">
        <f>SUM(L5:L12)</f>
        <v/>
      </c>
      <c r="M13" s="8">
        <f>SUM(M5:M12)</f>
        <v/>
      </c>
      <c r="N13" s="8">
        <f>SUM(N5:N12)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8E0D5"/>
    <outlinePr summaryBelow="1" summaryRight="1"/>
    <pageSetUpPr/>
  </sheetPr>
  <dimension ref="A1:E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4" customWidth="1" min="4" max="4"/>
    <col width="30" customWidth="1" min="5" max="5"/>
  </cols>
  <sheetData>
    <row r="1" ht="30" customHeight="1">
      <c r="A1" s="1" t="inlineStr">
        <is>
          <t>Expenses</t>
        </is>
      </c>
    </row>
    <row r="2">
      <c r="A2" s="2" t="inlineStr">
        <is>
          <t>One line per expense</t>
        </is>
      </c>
    </row>
    <row r="4" ht="22" customHeight="1">
      <c r="A4" s="6" t="inlineStr">
        <is>
          <t>Date</t>
        </is>
      </c>
      <c r="B4" s="6" t="inlineStr">
        <is>
          <t>Category</t>
        </is>
      </c>
      <c r="C4" s="6" t="inlineStr">
        <is>
          <t>Amount</t>
        </is>
      </c>
      <c r="D4" s="6" t="inlineStr">
        <is>
          <t>Paid with</t>
        </is>
      </c>
      <c r="E4" s="6" t="inlineStr">
        <is>
          <t>Note</t>
        </is>
      </c>
    </row>
    <row r="5">
      <c r="A5" s="10" t="n">
        <v>46023</v>
      </c>
      <c r="B5" s="7" t="inlineStr">
        <is>
          <t>Other</t>
        </is>
      </c>
      <c r="C5" s="11" t="n">
        <v>111.93</v>
      </c>
      <c r="D5" s="7" t="inlineStr">
        <is>
          <t>Cash</t>
        </is>
      </c>
    </row>
    <row r="6">
      <c r="A6" s="10" t="n">
        <v>46030</v>
      </c>
      <c r="B6" s="7" t="inlineStr">
        <is>
          <t>Transport</t>
        </is>
      </c>
      <c r="C6" s="11" t="n">
        <v>36.76</v>
      </c>
      <c r="D6" s="7" t="inlineStr">
        <is>
          <t>Transfer</t>
        </is>
      </c>
    </row>
    <row r="7">
      <c r="A7" s="10" t="n">
        <v>46037</v>
      </c>
      <c r="B7" s="7" t="inlineStr">
        <is>
          <t>Housing</t>
        </is>
      </c>
      <c r="C7" s="11" t="n">
        <v>63.55</v>
      </c>
      <c r="D7" s="7" t="inlineStr">
        <is>
          <t>Cash</t>
        </is>
      </c>
    </row>
    <row r="8">
      <c r="A8" s="10" t="n">
        <v>46044</v>
      </c>
      <c r="B8" s="7" t="inlineStr">
        <is>
          <t>Food</t>
        </is>
      </c>
      <c r="C8" s="11" t="n">
        <v>62.79</v>
      </c>
      <c r="D8" s="7" t="inlineStr">
        <is>
          <t>Transfer</t>
        </is>
      </c>
    </row>
    <row r="9">
      <c r="A9" s="10" t="n">
        <v>46023</v>
      </c>
      <c r="B9" s="7" t="inlineStr">
        <is>
          <t>Housing</t>
        </is>
      </c>
      <c r="C9" s="11" t="n">
        <v>132.16</v>
      </c>
      <c r="D9" s="7" t="inlineStr">
        <is>
          <t>Card</t>
        </is>
      </c>
    </row>
    <row r="10">
      <c r="A10" s="10" t="n">
        <v>46030</v>
      </c>
      <c r="B10" s="7" t="inlineStr">
        <is>
          <t>Other</t>
        </is>
      </c>
      <c r="C10" s="11" t="n">
        <v>171.42</v>
      </c>
      <c r="D10" s="7" t="inlineStr">
        <is>
          <t>Cash</t>
        </is>
      </c>
    </row>
    <row r="11">
      <c r="A11" s="10" t="n">
        <v>46037</v>
      </c>
      <c r="B11" s="7" t="inlineStr">
        <is>
          <t>Transport</t>
        </is>
      </c>
      <c r="C11" s="11" t="n">
        <v>33.64</v>
      </c>
      <c r="D11" s="7" t="inlineStr">
        <is>
          <t>Card</t>
        </is>
      </c>
    </row>
    <row r="12">
      <c r="A12" s="10" t="n">
        <v>46044</v>
      </c>
      <c r="B12" s="7" t="inlineStr">
        <is>
          <t>Food</t>
        </is>
      </c>
      <c r="C12" s="11" t="n">
        <v>27.31</v>
      </c>
      <c r="D12" s="7" t="inlineStr">
        <is>
          <t>Transfer</t>
        </is>
      </c>
    </row>
    <row r="13">
      <c r="A13" s="10" t="n">
        <v>46023</v>
      </c>
      <c r="B13" s="7" t="inlineStr">
        <is>
          <t>Food</t>
        </is>
      </c>
      <c r="C13" s="11" t="n">
        <v>140.26</v>
      </c>
      <c r="D13" s="7" t="inlineStr">
        <is>
          <t>Cash</t>
        </is>
      </c>
    </row>
    <row r="14">
      <c r="A14" s="10" t="n">
        <v>46030</v>
      </c>
      <c r="B14" s="7" t="inlineStr">
        <is>
          <t>Food</t>
        </is>
      </c>
      <c r="C14" s="11" t="n">
        <v>165.74</v>
      </c>
      <c r="D14" s="7" t="inlineStr">
        <is>
          <t>Card</t>
        </is>
      </c>
    </row>
    <row r="15">
      <c r="A15" s="10" t="n">
        <v>46068</v>
      </c>
      <c r="B15" s="7" t="inlineStr">
        <is>
          <t>Health</t>
        </is>
      </c>
      <c r="C15" s="11" t="n">
        <v>131.72</v>
      </c>
      <c r="D15" s="7" t="inlineStr">
        <is>
          <t>Cash</t>
        </is>
      </c>
    </row>
    <row r="16">
      <c r="A16" s="10" t="n">
        <v>46075</v>
      </c>
      <c r="B16" s="7" t="inlineStr">
        <is>
          <t>Food</t>
        </is>
      </c>
      <c r="C16" s="11" t="n">
        <v>139.97</v>
      </c>
      <c r="D16" s="7" t="inlineStr">
        <is>
          <t>Card</t>
        </is>
      </c>
    </row>
    <row r="17">
      <c r="A17" s="10" t="n">
        <v>46054</v>
      </c>
      <c r="B17" s="7" t="inlineStr">
        <is>
          <t>Bills</t>
        </is>
      </c>
      <c r="C17" s="11" t="n">
        <v>53.49</v>
      </c>
      <c r="D17" s="7" t="inlineStr">
        <is>
          <t>Card</t>
        </is>
      </c>
    </row>
    <row r="18">
      <c r="A18" s="10" t="n">
        <v>46061</v>
      </c>
      <c r="B18" s="7" t="inlineStr">
        <is>
          <t>Health</t>
        </is>
      </c>
      <c r="C18" s="11" t="n">
        <v>128.75</v>
      </c>
      <c r="D18" s="7" t="inlineStr">
        <is>
          <t>Card</t>
        </is>
      </c>
    </row>
    <row r="19">
      <c r="A19" s="10" t="n">
        <v>46068</v>
      </c>
      <c r="B19" s="7" t="inlineStr">
        <is>
          <t>Bills</t>
        </is>
      </c>
      <c r="C19" s="11" t="n">
        <v>13.64</v>
      </c>
      <c r="D19" s="7" t="inlineStr">
        <is>
          <t>Cash</t>
        </is>
      </c>
    </row>
    <row r="20">
      <c r="A20" s="10" t="n">
        <v>46075</v>
      </c>
      <c r="B20" s="7" t="inlineStr">
        <is>
          <t>Other</t>
        </is>
      </c>
      <c r="C20" s="11" t="n">
        <v>28.49</v>
      </c>
      <c r="D20" s="7" t="inlineStr">
        <is>
          <t>Card</t>
        </is>
      </c>
    </row>
    <row r="21">
      <c r="A21" s="10" t="n">
        <v>46054</v>
      </c>
      <c r="B21" s="7" t="inlineStr">
        <is>
          <t>Bills</t>
        </is>
      </c>
      <c r="C21" s="11" t="n">
        <v>133.58</v>
      </c>
      <c r="D21" s="7" t="inlineStr">
        <is>
          <t>Card</t>
        </is>
      </c>
    </row>
    <row r="22">
      <c r="A22" s="10" t="n">
        <v>46061</v>
      </c>
      <c r="B22" s="7" t="inlineStr">
        <is>
          <t>Housing</t>
        </is>
      </c>
      <c r="C22" s="11" t="n">
        <v>25.34</v>
      </c>
      <c r="D22" s="7" t="inlineStr">
        <is>
          <t>Transfer</t>
        </is>
      </c>
    </row>
    <row r="23">
      <c r="A23" s="10" t="n">
        <v>46068</v>
      </c>
      <c r="B23" s="7" t="inlineStr">
        <is>
          <t>Health</t>
        </is>
      </c>
      <c r="C23" s="11" t="n">
        <v>161.57</v>
      </c>
      <c r="D23" s="7" t="inlineStr">
        <is>
          <t>Card</t>
        </is>
      </c>
    </row>
    <row r="24">
      <c r="A24" s="10" t="n">
        <v>46075</v>
      </c>
      <c r="B24" s="7" t="inlineStr">
        <is>
          <t>Shopping</t>
        </is>
      </c>
      <c r="C24" s="11" t="n">
        <v>5.45</v>
      </c>
      <c r="D24" s="7" t="inlineStr">
        <is>
          <t>Card</t>
        </is>
      </c>
    </row>
    <row r="25">
      <c r="A25" s="10" t="n">
        <v>46082</v>
      </c>
      <c r="B25" s="7" t="inlineStr">
        <is>
          <t>Transport</t>
        </is>
      </c>
      <c r="C25" s="11" t="n">
        <v>99</v>
      </c>
      <c r="D25" s="7" t="inlineStr">
        <is>
          <t>Card</t>
        </is>
      </c>
    </row>
    <row r="26">
      <c r="A26" s="10" t="n">
        <v>46089</v>
      </c>
      <c r="B26" s="7" t="inlineStr">
        <is>
          <t>Food</t>
        </is>
      </c>
      <c r="C26" s="11" t="n">
        <v>104.84</v>
      </c>
      <c r="D26" s="7" t="inlineStr">
        <is>
          <t>Transfer</t>
        </is>
      </c>
    </row>
    <row r="27">
      <c r="A27" s="10" t="n">
        <v>46096</v>
      </c>
      <c r="B27" s="7" t="inlineStr">
        <is>
          <t>Health</t>
        </is>
      </c>
      <c r="C27" s="11" t="n">
        <v>77.94</v>
      </c>
      <c r="D27" s="7" t="inlineStr">
        <is>
          <t>Cash</t>
        </is>
      </c>
    </row>
    <row r="28">
      <c r="A28" s="10" t="n">
        <v>46103</v>
      </c>
      <c r="B28" s="7" t="inlineStr">
        <is>
          <t>Health</t>
        </is>
      </c>
      <c r="C28" s="11" t="n">
        <v>116.41</v>
      </c>
      <c r="D28" s="7" t="inlineStr">
        <is>
          <t>Card</t>
        </is>
      </c>
    </row>
    <row r="29">
      <c r="A29" s="10" t="n">
        <v>46082</v>
      </c>
      <c r="B29" s="7" t="inlineStr">
        <is>
          <t>Transport</t>
        </is>
      </c>
      <c r="C29" s="11" t="n">
        <v>34.37</v>
      </c>
      <c r="D29" s="7" t="inlineStr">
        <is>
          <t>Transfer</t>
        </is>
      </c>
    </row>
    <row r="30">
      <c r="A30" s="10" t="n">
        <v>46089</v>
      </c>
      <c r="B30" s="7" t="inlineStr">
        <is>
          <t>Housing</t>
        </is>
      </c>
      <c r="C30" s="11" t="n">
        <v>13.53</v>
      </c>
      <c r="D30" s="7" t="inlineStr">
        <is>
          <t>Transfer</t>
        </is>
      </c>
    </row>
    <row r="31">
      <c r="A31" s="10" t="n">
        <v>46096</v>
      </c>
      <c r="B31" s="7" t="inlineStr">
        <is>
          <t>Transport</t>
        </is>
      </c>
      <c r="C31" s="11" t="n">
        <v>135.15</v>
      </c>
      <c r="D31" s="7" t="inlineStr">
        <is>
          <t>Transfer</t>
        </is>
      </c>
    </row>
    <row r="32">
      <c r="A32" s="10" t="n">
        <v>46103</v>
      </c>
      <c r="B32" s="7" t="inlineStr">
        <is>
          <t>Housing</t>
        </is>
      </c>
      <c r="C32" s="11" t="n">
        <v>25.36</v>
      </c>
      <c r="D32" s="7" t="inlineStr">
        <is>
          <t>Transfer</t>
        </is>
      </c>
    </row>
    <row r="33">
      <c r="A33" s="10" t="n">
        <v>46082</v>
      </c>
      <c r="B33" s="7" t="inlineStr">
        <is>
          <t>Bills</t>
        </is>
      </c>
      <c r="C33" s="11" t="n">
        <v>171.36</v>
      </c>
      <c r="D33" s="7" t="inlineStr">
        <is>
          <t>Card</t>
        </is>
      </c>
    </row>
    <row r="34">
      <c r="A34" s="10" t="n">
        <v>46089</v>
      </c>
      <c r="B34" s="7" t="inlineStr">
        <is>
          <t>Transport</t>
        </is>
      </c>
      <c r="C34" s="11" t="n">
        <v>111.56</v>
      </c>
      <c r="D34" s="7" t="inlineStr">
        <is>
          <t>Card</t>
        </is>
      </c>
    </row>
    <row r="35">
      <c r="A35" s="10" t="n">
        <v>46127</v>
      </c>
      <c r="B35" s="7" t="inlineStr">
        <is>
          <t>Shopping</t>
        </is>
      </c>
      <c r="C35" s="11" t="n">
        <v>152.84</v>
      </c>
      <c r="D35" s="7" t="inlineStr">
        <is>
          <t>Transfer</t>
        </is>
      </c>
    </row>
    <row r="36">
      <c r="A36" s="10" t="n">
        <v>46134</v>
      </c>
      <c r="B36" s="7" t="inlineStr">
        <is>
          <t>Food</t>
        </is>
      </c>
      <c r="C36" s="11" t="n">
        <v>156.66</v>
      </c>
      <c r="D36" s="7" t="inlineStr">
        <is>
          <t>Card</t>
        </is>
      </c>
    </row>
    <row r="37">
      <c r="A37" s="10" t="n">
        <v>46113</v>
      </c>
      <c r="B37" s="7" t="inlineStr">
        <is>
          <t>Shopping</t>
        </is>
      </c>
      <c r="C37" s="11" t="n">
        <v>83.43000000000001</v>
      </c>
      <c r="D37" s="7" t="inlineStr">
        <is>
          <t>Cash</t>
        </is>
      </c>
    </row>
    <row r="38">
      <c r="A38" s="10" t="n">
        <v>46120</v>
      </c>
      <c r="B38" s="7" t="inlineStr">
        <is>
          <t>Health</t>
        </is>
      </c>
      <c r="C38" s="11" t="n">
        <v>177.55</v>
      </c>
      <c r="D38" s="7" t="inlineStr">
        <is>
          <t>Transfer</t>
        </is>
      </c>
    </row>
    <row r="39">
      <c r="A39" s="10" t="n">
        <v>46127</v>
      </c>
      <c r="B39" s="7" t="inlineStr">
        <is>
          <t>Housing</t>
        </is>
      </c>
      <c r="C39" s="11" t="n">
        <v>70.69</v>
      </c>
      <c r="D39" s="7" t="inlineStr">
        <is>
          <t>Transfer</t>
        </is>
      </c>
    </row>
    <row r="40">
      <c r="A40" s="10" t="n">
        <v>46134</v>
      </c>
      <c r="B40" s="7" t="inlineStr">
        <is>
          <t>Shopping</t>
        </is>
      </c>
      <c r="C40" s="11" t="n">
        <v>4.11</v>
      </c>
      <c r="D40" s="7" t="inlineStr">
        <is>
          <t>Card</t>
        </is>
      </c>
    </row>
    <row r="41">
      <c r="A41" s="10" t="n">
        <v>46113</v>
      </c>
      <c r="B41" s="7" t="inlineStr">
        <is>
          <t>Health</t>
        </is>
      </c>
      <c r="C41" s="11" t="n">
        <v>43.02</v>
      </c>
      <c r="D41" s="7" t="inlineStr">
        <is>
          <t>Cash</t>
        </is>
      </c>
    </row>
    <row r="42">
      <c r="A42" s="10" t="n">
        <v>46120</v>
      </c>
      <c r="B42" s="7" t="inlineStr">
        <is>
          <t>Shopping</t>
        </is>
      </c>
      <c r="C42" s="11" t="n">
        <v>147.39</v>
      </c>
      <c r="D42" s="7" t="inlineStr">
        <is>
          <t>Cash</t>
        </is>
      </c>
    </row>
    <row r="43">
      <c r="A43" s="10" t="n">
        <v>46127</v>
      </c>
      <c r="B43" s="7" t="inlineStr">
        <is>
          <t>Fun</t>
        </is>
      </c>
      <c r="C43" s="11" t="n">
        <v>22.14</v>
      </c>
      <c r="D43" s="7" t="inlineStr">
        <is>
          <t>Card</t>
        </is>
      </c>
    </row>
    <row r="44">
      <c r="A44" s="10" t="n">
        <v>46134</v>
      </c>
      <c r="B44" s="7" t="inlineStr">
        <is>
          <t>Housing</t>
        </is>
      </c>
      <c r="C44" s="11" t="n">
        <v>71.12</v>
      </c>
      <c r="D44" s="7" t="inlineStr">
        <is>
          <t>Transfer</t>
        </is>
      </c>
    </row>
    <row r="45">
      <c r="A45" s="10" t="n">
        <v>46143</v>
      </c>
      <c r="B45" s="7" t="inlineStr">
        <is>
          <t>Bills</t>
        </is>
      </c>
      <c r="C45" s="11" t="n">
        <v>91.53</v>
      </c>
      <c r="D45" s="7" t="inlineStr">
        <is>
          <t>Transfer</t>
        </is>
      </c>
    </row>
    <row r="46">
      <c r="A46" s="10" t="n">
        <v>46150</v>
      </c>
      <c r="B46" s="7" t="inlineStr">
        <is>
          <t>Health</t>
        </is>
      </c>
      <c r="C46" s="11" t="n">
        <v>103.62</v>
      </c>
      <c r="D46" s="7" t="inlineStr">
        <is>
          <t>Card</t>
        </is>
      </c>
    </row>
    <row r="47">
      <c r="A47" s="10" t="n">
        <v>46157</v>
      </c>
      <c r="B47" s="7" t="inlineStr">
        <is>
          <t>Bills</t>
        </is>
      </c>
      <c r="C47" s="11" t="n">
        <v>118.02</v>
      </c>
      <c r="D47" s="7" t="inlineStr">
        <is>
          <t>Card</t>
        </is>
      </c>
    </row>
    <row r="48">
      <c r="A48" s="10" t="n">
        <v>46164</v>
      </c>
      <c r="B48" s="7" t="inlineStr">
        <is>
          <t>Bills</t>
        </is>
      </c>
      <c r="C48" s="11" t="n">
        <v>93.73999999999999</v>
      </c>
      <c r="D48" s="7" t="inlineStr">
        <is>
          <t>Transfer</t>
        </is>
      </c>
    </row>
    <row r="49">
      <c r="A49" s="10" t="n">
        <v>46143</v>
      </c>
      <c r="B49" s="7" t="inlineStr">
        <is>
          <t>Shopping</t>
        </is>
      </c>
      <c r="C49" s="11" t="n">
        <v>28.49</v>
      </c>
      <c r="D49" s="7" t="inlineStr">
        <is>
          <t>Cash</t>
        </is>
      </c>
    </row>
    <row r="50">
      <c r="A50" s="10" t="n">
        <v>46150</v>
      </c>
      <c r="B50" s="7" t="inlineStr">
        <is>
          <t>Transport</t>
        </is>
      </c>
      <c r="C50" s="11" t="n">
        <v>125.91</v>
      </c>
      <c r="D50" s="7" t="inlineStr">
        <is>
          <t>Cash</t>
        </is>
      </c>
    </row>
    <row r="51">
      <c r="A51" s="10" t="n">
        <v>46157</v>
      </c>
      <c r="B51" s="7" t="inlineStr">
        <is>
          <t>Housing</t>
        </is>
      </c>
      <c r="C51" s="11" t="n">
        <v>12.89</v>
      </c>
      <c r="D51" s="7" t="inlineStr">
        <is>
          <t>Card</t>
        </is>
      </c>
    </row>
    <row r="52">
      <c r="A52" s="10" t="n">
        <v>46164</v>
      </c>
      <c r="B52" s="7" t="inlineStr">
        <is>
          <t>Fun</t>
        </is>
      </c>
      <c r="C52" s="11" t="n">
        <v>170.59</v>
      </c>
      <c r="D52" s="7" t="inlineStr">
        <is>
          <t>Card</t>
        </is>
      </c>
    </row>
    <row r="53">
      <c r="A53" s="10" t="n">
        <v>46143</v>
      </c>
      <c r="B53" s="7" t="inlineStr">
        <is>
          <t>Transport</t>
        </is>
      </c>
      <c r="C53" s="11" t="n">
        <v>6.09</v>
      </c>
      <c r="D53" s="7" t="inlineStr">
        <is>
          <t>Card</t>
        </is>
      </c>
    </row>
    <row r="54">
      <c r="A54" s="10" t="n">
        <v>46150</v>
      </c>
      <c r="B54" s="7" t="inlineStr">
        <is>
          <t>Other</t>
        </is>
      </c>
      <c r="C54" s="11" t="n">
        <v>40.71</v>
      </c>
      <c r="D54" s="7" t="inlineStr">
        <is>
          <t>Cash</t>
        </is>
      </c>
    </row>
    <row r="55">
      <c r="A55" s="10" t="n">
        <v>46188</v>
      </c>
      <c r="B55" s="7" t="inlineStr">
        <is>
          <t>Fun</t>
        </is>
      </c>
      <c r="C55" s="11" t="n">
        <v>111.63</v>
      </c>
      <c r="D55" s="7" t="inlineStr">
        <is>
          <t>Cash</t>
        </is>
      </c>
    </row>
    <row r="56">
      <c r="A56" s="10" t="n">
        <v>46195</v>
      </c>
      <c r="B56" s="7" t="inlineStr">
        <is>
          <t>Fun</t>
        </is>
      </c>
      <c r="C56" s="11" t="n">
        <v>28.75</v>
      </c>
      <c r="D56" s="7" t="inlineStr">
        <is>
          <t>Transfer</t>
        </is>
      </c>
    </row>
    <row r="57">
      <c r="A57" s="10" t="n">
        <v>46174</v>
      </c>
      <c r="B57" s="7" t="inlineStr">
        <is>
          <t>Fun</t>
        </is>
      </c>
      <c r="C57" s="11" t="n">
        <v>28.16</v>
      </c>
      <c r="D57" s="7" t="inlineStr">
        <is>
          <t>Card</t>
        </is>
      </c>
    </row>
    <row r="58">
      <c r="A58" s="10" t="n">
        <v>46181</v>
      </c>
      <c r="B58" s="7" t="inlineStr">
        <is>
          <t>Fun</t>
        </is>
      </c>
      <c r="C58" s="11" t="n">
        <v>126.49</v>
      </c>
      <c r="D58" s="7" t="inlineStr">
        <is>
          <t>Card</t>
        </is>
      </c>
    </row>
    <row r="59">
      <c r="A59" s="10" t="n">
        <v>46188</v>
      </c>
      <c r="B59" s="7" t="inlineStr">
        <is>
          <t>Bills</t>
        </is>
      </c>
      <c r="C59" s="11" t="n">
        <v>83.45</v>
      </c>
      <c r="D59" s="7" t="inlineStr">
        <is>
          <t>Transfer</t>
        </is>
      </c>
    </row>
    <row r="60">
      <c r="A60" s="10" t="n">
        <v>46195</v>
      </c>
      <c r="B60" s="7" t="inlineStr">
        <is>
          <t>Bills</t>
        </is>
      </c>
      <c r="C60" s="11" t="n">
        <v>107.52</v>
      </c>
      <c r="D60" s="7" t="inlineStr">
        <is>
          <t>Card</t>
        </is>
      </c>
    </row>
    <row r="61">
      <c r="A61" s="10" t="n">
        <v>46174</v>
      </c>
      <c r="B61" s="7" t="inlineStr">
        <is>
          <t>Fun</t>
        </is>
      </c>
      <c r="C61" s="11" t="n">
        <v>139.82</v>
      </c>
      <c r="D61" s="7" t="inlineStr">
        <is>
          <t>Transfer</t>
        </is>
      </c>
    </row>
    <row r="62">
      <c r="A62" s="10" t="n">
        <v>46181</v>
      </c>
      <c r="B62" s="7" t="inlineStr">
        <is>
          <t>Other</t>
        </is>
      </c>
      <c r="C62" s="11" t="n">
        <v>65.40000000000001</v>
      </c>
      <c r="D62" s="7" t="inlineStr">
        <is>
          <t>Card</t>
        </is>
      </c>
    </row>
    <row r="63">
      <c r="A63" s="10" t="n">
        <v>46188</v>
      </c>
      <c r="B63" s="7" t="inlineStr">
        <is>
          <t>Fun</t>
        </is>
      </c>
      <c r="C63" s="11" t="n">
        <v>97.08</v>
      </c>
      <c r="D63" s="7" t="inlineStr">
        <is>
          <t>Card</t>
        </is>
      </c>
    </row>
    <row r="64">
      <c r="A64" s="10" t="n">
        <v>46195</v>
      </c>
      <c r="B64" s="7" t="inlineStr">
        <is>
          <t>Food</t>
        </is>
      </c>
      <c r="C64" s="11" t="n">
        <v>32.55</v>
      </c>
      <c r="D64" s="7" t="inlineStr">
        <is>
          <t>Card</t>
        </is>
      </c>
    </row>
    <row r="65">
      <c r="A65" s="10" t="n">
        <v>46204</v>
      </c>
      <c r="B65" s="7" t="inlineStr">
        <is>
          <t>Housing</t>
        </is>
      </c>
      <c r="C65" s="11" t="n">
        <v>39.71</v>
      </c>
      <c r="D65" s="7" t="inlineStr">
        <is>
          <t>Cash</t>
        </is>
      </c>
    </row>
    <row r="66">
      <c r="A66" s="10" t="n">
        <v>46211</v>
      </c>
      <c r="B66" s="7" t="inlineStr">
        <is>
          <t>Other</t>
        </is>
      </c>
      <c r="C66" s="11" t="n">
        <v>108.11</v>
      </c>
      <c r="D66" s="7" t="inlineStr">
        <is>
          <t>Transfer</t>
        </is>
      </c>
    </row>
    <row r="67">
      <c r="A67" s="10" t="n">
        <v>46218</v>
      </c>
      <c r="B67" s="7" t="inlineStr">
        <is>
          <t>Bills</t>
        </is>
      </c>
      <c r="C67" s="11" t="n">
        <v>18.64</v>
      </c>
      <c r="D67" s="7" t="inlineStr">
        <is>
          <t>Transfer</t>
        </is>
      </c>
    </row>
    <row r="68">
      <c r="A68" s="10" t="n">
        <v>46225</v>
      </c>
      <c r="B68" s="7" t="inlineStr">
        <is>
          <t>Other</t>
        </is>
      </c>
      <c r="C68" s="11" t="n">
        <v>108.36</v>
      </c>
      <c r="D68" s="7" t="inlineStr">
        <is>
          <t>Cash</t>
        </is>
      </c>
    </row>
    <row r="69">
      <c r="A69" s="10" t="n">
        <v>46204</v>
      </c>
      <c r="B69" s="7" t="inlineStr">
        <is>
          <t>Food</t>
        </is>
      </c>
      <c r="C69" s="11" t="n">
        <v>169.67</v>
      </c>
      <c r="D69" s="7" t="inlineStr">
        <is>
          <t>Card</t>
        </is>
      </c>
    </row>
    <row r="70">
      <c r="A70" s="10" t="n">
        <v>46211</v>
      </c>
      <c r="B70" s="7" t="inlineStr">
        <is>
          <t>Bills</t>
        </is>
      </c>
      <c r="C70" s="11" t="n">
        <v>99.81</v>
      </c>
      <c r="D70" s="7" t="inlineStr">
        <is>
          <t>Transfer</t>
        </is>
      </c>
    </row>
    <row r="71">
      <c r="A71" s="10" t="n">
        <v>46218</v>
      </c>
      <c r="B71" s="7" t="inlineStr">
        <is>
          <t>Food</t>
        </is>
      </c>
      <c r="C71" s="11" t="n">
        <v>158.43</v>
      </c>
      <c r="D71" s="7" t="inlineStr">
        <is>
          <t>Transfer</t>
        </is>
      </c>
    </row>
    <row r="72">
      <c r="A72" s="10" t="n">
        <v>46225</v>
      </c>
      <c r="B72" s="7" t="inlineStr">
        <is>
          <t>Fun</t>
        </is>
      </c>
      <c r="C72" s="11" t="n">
        <v>15.32</v>
      </c>
      <c r="D72" s="7" t="inlineStr">
        <is>
          <t>Card</t>
        </is>
      </c>
    </row>
    <row r="73">
      <c r="A73" s="10" t="n">
        <v>46204</v>
      </c>
      <c r="B73" s="7" t="inlineStr">
        <is>
          <t>Transport</t>
        </is>
      </c>
      <c r="C73" s="11" t="n">
        <v>22.16</v>
      </c>
      <c r="D73" s="7" t="inlineStr">
        <is>
          <t>Transfer</t>
        </is>
      </c>
    </row>
    <row r="74">
      <c r="A74" s="10" t="n">
        <v>46211</v>
      </c>
      <c r="B74" s="7" t="inlineStr">
        <is>
          <t>Other</t>
        </is>
      </c>
      <c r="C74" s="11" t="n">
        <v>83.81999999999999</v>
      </c>
      <c r="D74" s="7" t="inlineStr">
        <is>
          <t>Cash</t>
        </is>
      </c>
    </row>
    <row r="75">
      <c r="A75" s="10" t="n">
        <v>46249</v>
      </c>
      <c r="B75" s="7" t="inlineStr">
        <is>
          <t>Housing</t>
        </is>
      </c>
      <c r="C75" s="11" t="n">
        <v>123.47</v>
      </c>
      <c r="D75" s="7" t="inlineStr">
        <is>
          <t>Card</t>
        </is>
      </c>
    </row>
    <row r="76">
      <c r="A76" s="10" t="n">
        <v>46256</v>
      </c>
      <c r="B76" s="7" t="inlineStr">
        <is>
          <t>Shopping</t>
        </is>
      </c>
      <c r="C76" s="11" t="n">
        <v>46.88</v>
      </c>
      <c r="D76" s="7" t="inlineStr">
        <is>
          <t>Cash</t>
        </is>
      </c>
    </row>
    <row r="77">
      <c r="A77" s="10" t="n">
        <v>46235</v>
      </c>
      <c r="B77" s="7" t="inlineStr">
        <is>
          <t>Health</t>
        </is>
      </c>
      <c r="C77" s="11" t="n">
        <v>69.34</v>
      </c>
      <c r="D77" s="7" t="inlineStr">
        <is>
          <t>Transfer</t>
        </is>
      </c>
    </row>
    <row r="78">
      <c r="A78" s="10" t="n">
        <v>46242</v>
      </c>
      <c r="B78" s="7" t="inlineStr">
        <is>
          <t>Other</t>
        </is>
      </c>
      <c r="C78" s="11" t="n">
        <v>158.15</v>
      </c>
      <c r="D78" s="7" t="inlineStr">
        <is>
          <t>Card</t>
        </is>
      </c>
    </row>
    <row r="79">
      <c r="A79" s="10" t="n">
        <v>46249</v>
      </c>
      <c r="B79" s="7" t="inlineStr">
        <is>
          <t>Food</t>
        </is>
      </c>
      <c r="C79" s="11" t="n">
        <v>111.94</v>
      </c>
      <c r="D79" s="7" t="inlineStr">
        <is>
          <t>Transfer</t>
        </is>
      </c>
    </row>
    <row r="80">
      <c r="A80" s="10" t="n">
        <v>46256</v>
      </c>
      <c r="B80" s="7" t="inlineStr">
        <is>
          <t>Bills</t>
        </is>
      </c>
      <c r="C80" s="11" t="n">
        <v>75.58</v>
      </c>
      <c r="D80" s="7" t="inlineStr">
        <is>
          <t>Card</t>
        </is>
      </c>
    </row>
    <row r="81">
      <c r="A81" s="10" t="n">
        <v>46235</v>
      </c>
      <c r="B81" s="7" t="inlineStr">
        <is>
          <t>Food</t>
        </is>
      </c>
      <c r="C81" s="11" t="n">
        <v>37.28</v>
      </c>
      <c r="D81" s="7" t="inlineStr">
        <is>
          <t>Transfer</t>
        </is>
      </c>
    </row>
    <row r="82">
      <c r="A82" s="10" t="n">
        <v>46242</v>
      </c>
      <c r="B82" s="7" t="inlineStr">
        <is>
          <t>Transport</t>
        </is>
      </c>
      <c r="C82" s="11" t="n">
        <v>18.86</v>
      </c>
      <c r="D82" s="7" t="inlineStr">
        <is>
          <t>Card</t>
        </is>
      </c>
    </row>
    <row r="83">
      <c r="A83" s="10" t="n">
        <v>46249</v>
      </c>
      <c r="B83" s="7" t="inlineStr">
        <is>
          <t>Shopping</t>
        </is>
      </c>
      <c r="C83" s="11" t="n">
        <v>113.93</v>
      </c>
      <c r="D83" s="7" t="inlineStr">
        <is>
          <t>Transfer</t>
        </is>
      </c>
    </row>
    <row r="84">
      <c r="A84" s="10" t="n">
        <v>46256</v>
      </c>
      <c r="B84" s="7" t="inlineStr">
        <is>
          <t>Other</t>
        </is>
      </c>
      <c r="C84" s="11" t="n">
        <v>8.57</v>
      </c>
      <c r="D84" s="7" t="inlineStr">
        <is>
          <t>Card</t>
        </is>
      </c>
    </row>
    <row r="85">
      <c r="A85" s="10" t="n">
        <v>46266</v>
      </c>
      <c r="B85" s="7" t="inlineStr">
        <is>
          <t>Shopping</t>
        </is>
      </c>
      <c r="C85" s="11" t="n">
        <v>18.89</v>
      </c>
      <c r="D85" s="7" t="inlineStr">
        <is>
          <t>Cash</t>
        </is>
      </c>
    </row>
    <row r="86">
      <c r="A86" s="10" t="n">
        <v>46273</v>
      </c>
      <c r="B86" s="7" t="inlineStr">
        <is>
          <t>Housing</t>
        </is>
      </c>
      <c r="C86" s="11" t="n">
        <v>85.64</v>
      </c>
      <c r="D86" s="7" t="inlineStr">
        <is>
          <t>Cash</t>
        </is>
      </c>
    </row>
    <row r="87">
      <c r="A87" s="10" t="n">
        <v>46280</v>
      </c>
      <c r="B87" s="7" t="inlineStr">
        <is>
          <t>Transport</t>
        </is>
      </c>
      <c r="C87" s="11" t="n">
        <v>175.84</v>
      </c>
      <c r="D87" s="7" t="inlineStr">
        <is>
          <t>Cash</t>
        </is>
      </c>
    </row>
    <row r="88">
      <c r="A88" s="10" t="n">
        <v>46287</v>
      </c>
      <c r="B88" s="7" t="inlineStr">
        <is>
          <t>Transport</t>
        </is>
      </c>
      <c r="C88" s="11" t="n">
        <v>22.7</v>
      </c>
      <c r="D88" s="7" t="inlineStr">
        <is>
          <t>Cash</t>
        </is>
      </c>
    </row>
    <row r="89">
      <c r="A89" s="10" t="n">
        <v>46266</v>
      </c>
      <c r="B89" s="7" t="inlineStr">
        <is>
          <t>Health</t>
        </is>
      </c>
      <c r="C89" s="11" t="n">
        <v>83.45999999999999</v>
      </c>
      <c r="D89" s="7" t="inlineStr">
        <is>
          <t>Card</t>
        </is>
      </c>
    </row>
    <row r="90">
      <c r="A90" s="10" t="n">
        <v>46273</v>
      </c>
      <c r="B90" s="7" t="inlineStr">
        <is>
          <t>Health</t>
        </is>
      </c>
      <c r="C90" s="11" t="n">
        <v>174.49</v>
      </c>
      <c r="D90" s="7" t="inlineStr">
        <is>
          <t>Card</t>
        </is>
      </c>
    </row>
    <row r="91">
      <c r="A91" s="10" t="n">
        <v>46280</v>
      </c>
      <c r="B91" s="7" t="inlineStr">
        <is>
          <t>Food</t>
        </is>
      </c>
      <c r="C91" s="11" t="n">
        <v>13.28</v>
      </c>
      <c r="D91" s="7" t="inlineStr">
        <is>
          <t>Card</t>
        </is>
      </c>
    </row>
    <row r="92">
      <c r="A92" s="10" t="n">
        <v>46287</v>
      </c>
      <c r="B92" s="7" t="inlineStr">
        <is>
          <t>Food</t>
        </is>
      </c>
      <c r="C92" s="11" t="n">
        <v>69.55</v>
      </c>
      <c r="D92" s="7" t="inlineStr">
        <is>
          <t>Transfer</t>
        </is>
      </c>
    </row>
    <row r="93">
      <c r="A93" s="10" t="n">
        <v>46266</v>
      </c>
      <c r="B93" s="7" t="inlineStr">
        <is>
          <t>Housing</t>
        </is>
      </c>
      <c r="C93" s="11" t="n">
        <v>86.28</v>
      </c>
      <c r="D93" s="7" t="inlineStr">
        <is>
          <t>Transfer</t>
        </is>
      </c>
    </row>
    <row r="94">
      <c r="A94" s="10" t="n">
        <v>46273</v>
      </c>
      <c r="B94" s="7" t="inlineStr">
        <is>
          <t>Health</t>
        </is>
      </c>
      <c r="C94" s="11" t="n">
        <v>69.03</v>
      </c>
      <c r="D94" s="7" t="inlineStr">
        <is>
          <t>Transfer</t>
        </is>
      </c>
    </row>
    <row r="95">
      <c r="A95" s="10" t="n">
        <v>46310</v>
      </c>
      <c r="B95" s="7" t="inlineStr">
        <is>
          <t>Food</t>
        </is>
      </c>
      <c r="C95" s="11" t="n">
        <v>45.56</v>
      </c>
      <c r="D95" s="7" t="inlineStr">
        <is>
          <t>Cash</t>
        </is>
      </c>
    </row>
    <row r="96">
      <c r="A96" s="10" t="n">
        <v>46317</v>
      </c>
      <c r="B96" s="7" t="inlineStr">
        <is>
          <t>Health</t>
        </is>
      </c>
      <c r="C96" s="11" t="n">
        <v>6.72</v>
      </c>
      <c r="D96" s="7" t="inlineStr">
        <is>
          <t>Cash</t>
        </is>
      </c>
    </row>
    <row r="97">
      <c r="A97" s="10" t="n">
        <v>46296</v>
      </c>
      <c r="B97" s="7" t="inlineStr">
        <is>
          <t>Housing</t>
        </is>
      </c>
      <c r="C97" s="11" t="n">
        <v>173.08</v>
      </c>
      <c r="D97" s="7" t="inlineStr">
        <is>
          <t>Transfer</t>
        </is>
      </c>
    </row>
    <row r="98">
      <c r="A98" s="10" t="n">
        <v>46303</v>
      </c>
      <c r="B98" s="7" t="inlineStr">
        <is>
          <t>Bills</t>
        </is>
      </c>
      <c r="C98" s="11" t="n">
        <v>14.17</v>
      </c>
      <c r="D98" s="7" t="inlineStr">
        <is>
          <t>Cash</t>
        </is>
      </c>
    </row>
    <row r="99">
      <c r="A99" s="10" t="n">
        <v>46310</v>
      </c>
      <c r="B99" s="7" t="inlineStr">
        <is>
          <t>Other</t>
        </is>
      </c>
      <c r="C99" s="11" t="n">
        <v>153.89</v>
      </c>
      <c r="D99" s="7" t="inlineStr">
        <is>
          <t>Transfer</t>
        </is>
      </c>
    </row>
    <row r="100">
      <c r="A100" s="10" t="n">
        <v>46317</v>
      </c>
      <c r="B100" s="7" t="inlineStr">
        <is>
          <t>Health</t>
        </is>
      </c>
      <c r="C100" s="11" t="n">
        <v>116.45</v>
      </c>
      <c r="D100" s="7" t="inlineStr">
        <is>
          <t>Transfer</t>
        </is>
      </c>
    </row>
    <row r="101">
      <c r="A101" s="10" t="n">
        <v>46296</v>
      </c>
      <c r="B101" s="7" t="inlineStr">
        <is>
          <t>Fun</t>
        </is>
      </c>
      <c r="C101" s="11" t="n">
        <v>27.27</v>
      </c>
      <c r="D101" s="7" t="inlineStr">
        <is>
          <t>Card</t>
        </is>
      </c>
    </row>
    <row r="102">
      <c r="A102" s="10" t="n">
        <v>46303</v>
      </c>
      <c r="B102" s="7" t="inlineStr">
        <is>
          <t>Transport</t>
        </is>
      </c>
      <c r="C102" s="11" t="n">
        <v>175.7</v>
      </c>
      <c r="D102" s="7" t="inlineStr">
        <is>
          <t>Cash</t>
        </is>
      </c>
    </row>
    <row r="103">
      <c r="A103" s="10" t="n">
        <v>46310</v>
      </c>
      <c r="B103" s="7" t="inlineStr">
        <is>
          <t>Housing</t>
        </is>
      </c>
      <c r="C103" s="11" t="n">
        <v>158.28</v>
      </c>
      <c r="D103" s="7" t="inlineStr">
        <is>
          <t>Cash</t>
        </is>
      </c>
    </row>
    <row r="104">
      <c r="A104" s="10" t="n">
        <v>46317</v>
      </c>
      <c r="B104" s="7" t="inlineStr">
        <is>
          <t>Food</t>
        </is>
      </c>
      <c r="C104" s="11" t="n">
        <v>9.19</v>
      </c>
      <c r="D104" s="7" t="inlineStr">
        <is>
          <t>Cash</t>
        </is>
      </c>
    </row>
  </sheetData>
  <dataValidations count="2">
    <dataValidation sqref="B5:B1000" showDropDown="0" showInputMessage="0" showErrorMessage="0" allowBlank="1" type="list">
      <formula1>=Summary!$A$5:$A$12</formula1>
    </dataValidation>
    <dataValidation sqref="D5:D1000" showDropDown="0" showInputMessage="0" showErrorMessage="0" allowBlank="1" type="list">
      <formula1>"Card,Cash,Transfer"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2026-10-20T21:08:46Z</dcterms:created>
  <dcterms:modified xmlns:dcterms="http://purl.org/dc/terms/" xmlns:xsi="http://www.w3.org/2001/XMLSchema-instance" xsi:type="dcterms:W3CDTF">2026-10-20T21:08:46Z</dcterms:modified>
</cp:coreProperties>
</file>