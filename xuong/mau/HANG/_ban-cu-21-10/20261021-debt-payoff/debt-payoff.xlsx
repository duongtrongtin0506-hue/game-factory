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lan" sheetId="2" state="visible" r:id="rId2"/>
    <sheet xmlns:r="http://schemas.openxmlformats.org/officeDocument/2006/relationships" name="Schedule" sheetId="3" state="visible" r:id="rId3"/>
  </sheets>
  <definedNames/>
  <calcPr calcId="124519" fullCalcOnLoad="1"/>
</workbook>
</file>

<file path=xl/styles.xml><?xml version="1.0" encoding="utf-8"?>
<styleSheet xmlns="http://schemas.openxmlformats.org/spreadsheetml/2006/main">
  <numFmts count="5">
    <numFmt numFmtId="164" formatCode="&quot;$&quot;#,##0.00"/>
    <numFmt numFmtId="165" formatCode="yyyy-mm-dd"/>
    <numFmt numFmtId="166" formatCode="mmm yyyy"/>
    <numFmt numFmtId="167" formatCode="0.0%"/>
    <numFmt numFmtId="168" formatCode="&quot;$&quot;#,##0"/>
  </numFmts>
  <fonts count="8">
    <font>
      <name val="Calibri"/>
      <family val="2"/>
      <color theme="1"/>
      <sz val="11"/>
      <scheme val="minor"/>
    </font>
    <font>
      <color rgb="001A1A1A"/>
      <sz val="20"/>
    </font>
    <font>
      <color rgb="008B7E6F"/>
      <sz val="10"/>
    </font>
    <font>
      <b val="1"/>
      <color rgb="008B7E6F"/>
      <sz val="9"/>
    </font>
    <font>
      <color rgb="008B7E6F"/>
      <sz val="9"/>
    </font>
    <font>
      <b val="1"/>
      <color rgb="00FFFFFF"/>
      <sz val="10"/>
    </font>
    <font>
      <color rgb="001A1A1A"/>
      <sz val="10"/>
    </font>
    <font>
      <color rgb="00555555"/>
      <sz val="10"/>
    </font>
  </fonts>
  <fills count="4">
    <fill>
      <patternFill/>
    </fill>
    <fill>
      <patternFill patternType="gray125"/>
    </fill>
    <fill>
      <patternFill patternType="solid">
        <fgColor rgb="00FFF4EA"/>
      </patternFill>
    </fill>
    <fill>
      <patternFill patternType="solid">
        <fgColor rgb="00E8833A"/>
      </patternFill>
    </fill>
  </fills>
  <borders count="2">
    <border>
      <left/>
      <right/>
      <top/>
      <bottom/>
      <diagonal/>
    </border>
    <border>
      <bottom style="thin">
        <color rgb="00E8E0D5"/>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xf numFmtId="0" fontId="4" fillId="0" borderId="0" applyAlignment="1" pivotButton="0" quotePrefix="0" xfId="0">
      <alignment wrapText="1"/>
    </xf>
    <xf numFmtId="0" fontId="0" fillId="2" borderId="0" pivotButton="0" quotePrefix="0" xfId="0"/>
    <xf numFmtId="164" fontId="0" fillId="2" borderId="0" pivotButton="0" quotePrefix="0" xfId="0"/>
    <xf numFmtId="166" fontId="0" fillId="2" borderId="0" pivotButton="0" quotePrefix="0" xfId="0"/>
    <xf numFmtId="0" fontId="5" fillId="3" borderId="0" applyAlignment="1" pivotButton="0" quotePrefix="0" xfId="0">
      <alignment horizontal="center" vertical="center" wrapText="1"/>
    </xf>
    <xf numFmtId="0" fontId="6" fillId="2" borderId="1" pivotButton="0" quotePrefix="0" xfId="0"/>
    <xf numFmtId="164" fontId="6" fillId="2" borderId="1" pivotButton="0" quotePrefix="0" xfId="0"/>
    <xf numFmtId="167" fontId="6" fillId="2" borderId="1" pivotButton="0" quotePrefix="0" xfId="0"/>
    <xf numFmtId="0" fontId="7" fillId="0" borderId="1" pivotButton="0" quotePrefix="0" xfId="0"/>
    <xf numFmtId="166" fontId="7" fillId="0" borderId="1" pivotButton="0" quotePrefix="0" xfId="0"/>
    <xf numFmtId="0" fontId="6" fillId="0" borderId="1" pivotButton="0" quotePrefix="0" xfId="0"/>
    <xf numFmtId="164" fontId="7" fillId="0" borderId="1" pivotButton="0" quotePrefix="0" xfId="0"/>
    <xf numFmtId="0" fontId="6" fillId="0" borderId="0" pivotButton="0" quotePrefix="0" xfId="0"/>
    <xf numFmtId="168" fontId="7"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833A"/>
    <outlinePr summaryBelow="1" summaryRight="1"/>
    <pageSetUpPr/>
  </sheetPr>
  <dimension ref="A1:B16"/>
  <sheetViews>
    <sheetView showGridLines="0" workbookViewId="0">
      <selection activeCell="A1" sqref="A1"/>
    </sheetView>
  </sheetViews>
  <sheetFormatPr baseColWidth="8" defaultRowHeight="15"/>
  <cols>
    <col width="4" customWidth="1" min="1" max="1"/>
    <col width="90" customWidth="1" min="2" max="2"/>
  </cols>
  <sheetData>
    <row r="1" ht="30" customHeight="1">
      <c r="A1" s="1" t="inlineStr">
        <is>
          <t>Debt Payoff Planner (Snowball / Avalanche)</t>
        </is>
      </c>
    </row>
    <row r="2">
      <c r="A2" s="2" t="inlineStr">
        <is>
          <t>Free template · templates.snoutsmith.com</t>
        </is>
      </c>
    </row>
    <row r="4">
      <c r="B4" s="3" t="inlineStr">
        <is>
          <t>WHAT IT DOES</t>
        </is>
      </c>
    </row>
    <row r="5" ht="34" customHeight="1">
      <c r="B5" s="4" t="inlineStr">
        <is>
          <t>List up to 10 debts, pick snowball (smallest balance first) or avalanche (highest rate first), add an extra monthly amount, and see the payoff order, the month each debt is paid off and your debt-free date – simulated month by month.</t>
        </is>
      </c>
    </row>
    <row r="7">
      <c r="B7" s="3" t="inlineStr">
        <is>
          <t>HOW TO USE</t>
        </is>
      </c>
    </row>
    <row r="8">
      <c r="B8" s="4" t="inlineStr">
        <is>
          <t>1. Enter each debt on Plan: balance, yearly interest rate, minimum payment.</t>
        </is>
      </c>
    </row>
    <row r="9">
      <c r="B9" s="4" t="inlineStr">
        <is>
          <t>2. Choose the method in B4, your extra monthly payment in B5 and the start month in B6.</t>
        </is>
      </c>
    </row>
    <row r="10">
      <c r="B10" s="4" t="inlineStr">
        <is>
          <t>3. Plan shows the order, the month each debt is gone and the debt-free date. Schedule shows every month's balances.</t>
        </is>
      </c>
    </row>
    <row r="12">
      <c r="B12" s="3" t="inlineStr">
        <is>
          <t>GOOD TO KNOW</t>
        </is>
      </c>
    </row>
    <row r="13">
      <c r="B13" s="4" t="inlineStr">
        <is>
          <t>• The simulation pays every minimum, puts the extra (plus minimums freed by paid-off debts) on the debt in focus, and adds monthly interest.</t>
        </is>
      </c>
    </row>
    <row r="14">
      <c r="B14" s="4" t="inlineStr">
        <is>
          <t>• Estimates assume fixed rates and no new charges. A planning tool, not financial advice.</t>
        </is>
      </c>
    </row>
    <row r="16">
      <c r="B16" s="5" t="inlineStr">
        <is>
          <t>Tinted cells are yours to type in. Grey numbers are formulas – leave them. Works in Google Sheets (File → Import or open the .xlsx) and Excel, free plans, no add-ons or scripts.</t>
        </is>
      </c>
    </row>
  </sheetData>
  <pageMargins left="0.75" right="0.75" top="1" bottom="1" header="0.5" footer="0.5"/>
</worksheet>
</file>

<file path=xl/worksheets/sheet2.xml><?xml version="1.0" encoding="utf-8"?>
<worksheet xmlns="http://schemas.openxmlformats.org/spreadsheetml/2006/main">
  <sheetPr>
    <tabColor rgb="00E8E0D5"/>
    <outlinePr summaryBelow="1" summaryRight="1"/>
    <pageSetUpPr/>
  </sheetPr>
  <dimension ref="A1:G25"/>
  <sheetViews>
    <sheetView showGridLines="0" workbookViewId="0">
      <pane ySplit="8" topLeftCell="A9" activePane="bottomLeft" state="frozen"/>
      <selection pane="bottomLeft" activeCell="A1" sqref="A1"/>
    </sheetView>
  </sheetViews>
  <sheetFormatPr baseColWidth="8" defaultRowHeight="15"/>
  <cols>
    <col width="22" customWidth="1" min="1" max="1"/>
    <col width="14" customWidth="1" min="2" max="2"/>
    <col width="10" customWidth="1" min="3" max="3"/>
    <col width="13" customWidth="1" min="4" max="4"/>
    <col width="9" customWidth="1" min="5" max="5"/>
    <col width="16" customWidth="1" min="6" max="6"/>
    <col width="16" customWidth="1" min="7" max="7"/>
  </cols>
  <sheetData>
    <row r="1" ht="30" customHeight="1">
      <c r="A1" s="1" t="inlineStr">
        <is>
          <t>Debt payoff plan</t>
        </is>
      </c>
    </row>
    <row r="2">
      <c r="A2" s="2" t="inlineStr">
        <is>
          <t>Simulated month by month – estimates, not financial advice</t>
        </is>
      </c>
    </row>
    <row r="4">
      <c r="A4" s="3" t="inlineStr">
        <is>
          <t>Method</t>
        </is>
      </c>
      <c r="B4" s="6" t="inlineStr">
        <is>
          <t>Snowball</t>
        </is>
      </c>
    </row>
    <row r="5">
      <c r="A5" s="3" t="inlineStr">
        <is>
          <t>Extra per month</t>
        </is>
      </c>
      <c r="B5" s="7" t="n">
        <v>200</v>
      </c>
    </row>
    <row r="6">
      <c r="A6" s="3" t="inlineStr">
        <is>
          <t>Start month</t>
        </is>
      </c>
      <c r="B6" s="8" t="n">
        <v>46327</v>
      </c>
    </row>
    <row r="8" ht="22" customHeight="1">
      <c r="A8" s="9" t="inlineStr">
        <is>
          <t>Debt</t>
        </is>
      </c>
      <c r="B8" s="9" t="inlineStr">
        <is>
          <t>Balance</t>
        </is>
      </c>
      <c r="C8" s="9" t="inlineStr">
        <is>
          <t>Rate / yr</t>
        </is>
      </c>
      <c r="D8" s="9" t="inlineStr">
        <is>
          <t>Min payment</t>
        </is>
      </c>
      <c r="E8" s="9" t="inlineStr">
        <is>
          <t>Order</t>
        </is>
      </c>
      <c r="F8" s="9" t="inlineStr">
        <is>
          <t>Paid off in month</t>
        </is>
      </c>
      <c r="G8" s="9" t="inlineStr">
        <is>
          <t>Paid off</t>
        </is>
      </c>
    </row>
    <row r="9">
      <c r="A9" s="10" t="inlineStr">
        <is>
          <t>Credit card A</t>
        </is>
      </c>
      <c r="B9" s="11" t="n">
        <v>3200</v>
      </c>
      <c r="C9" s="12" t="n">
        <v>0.229</v>
      </c>
      <c r="D9" s="11" t="n">
        <v>95</v>
      </c>
      <c r="E9" s="13">
        <f>IF(N(B9)=0,"",IF($B$4="Avalanche",COUNTIFS($B$9:$B$18,"&gt;0",$C$9:$C$18,"&gt;"&amp;C9)+COUNTIFS($B$9:$B$18,"&gt;0",$C$9:$C$18,C9,$B$9:$B$18,"&lt;"&amp;B9)+COUNTIFS($A$9:A9,"&lt;&gt;",$B$9:B9,B9,$C$9:C9,C9),COUNTIFS($B$9:$B$18,"&gt;0",$B$9:$B$18,"&lt;"&amp;B9)+COUNTIFS($B$9:B9,B9)))</f>
        <v/>
      </c>
      <c r="F9" s="13">
        <f>IF(N(B9)=0,"",IF(INDEX(Schedule!B$5:B$244,240)&gt;0,"over 20 years",COUNTIF(Schedule!B$5:B$244,"&gt;0")+1))</f>
        <v/>
      </c>
      <c r="G9" s="14">
        <f>IF(ISNUMBER(F9),DATE(YEAR($B$6),MONTH($B$6)+F9-1,1),"")</f>
        <v/>
      </c>
    </row>
    <row r="10">
      <c r="A10" s="10" t="inlineStr">
        <is>
          <t>Store card</t>
        </is>
      </c>
      <c r="B10" s="11" t="n">
        <v>850</v>
      </c>
      <c r="C10" s="12" t="n">
        <v>0.269</v>
      </c>
      <c r="D10" s="11" t="n">
        <v>35</v>
      </c>
      <c r="E10" s="13">
        <f>IF(N(B10)=0,"",IF($B$4="Avalanche",COUNTIFS($B$9:$B$18,"&gt;0",$C$9:$C$18,"&gt;"&amp;C10)+COUNTIFS($B$9:$B$18,"&gt;0",$C$9:$C$18,C10,$B$9:$B$18,"&lt;"&amp;B10)+COUNTIFS($A$9:A10,"&lt;&gt;",$B$9:B10,B10,$C$9:C10,C10),COUNTIFS($B$9:$B$18,"&gt;0",$B$9:$B$18,"&lt;"&amp;B10)+COUNTIFS($B$9:B10,B10)))</f>
        <v/>
      </c>
      <c r="F10" s="13">
        <f>IF(N(B10)=0,"",IF(INDEX(Schedule!C$5:C$244,240)&gt;0,"over 20 years",COUNTIF(Schedule!C$5:C$244,"&gt;0")+1))</f>
        <v/>
      </c>
      <c r="G10" s="14">
        <f>IF(ISNUMBER(F10),DATE(YEAR($B$6),MONTH($B$6)+F10-1,1),"")</f>
        <v/>
      </c>
    </row>
    <row r="11">
      <c r="A11" s="10" t="inlineStr">
        <is>
          <t>Car loan</t>
        </is>
      </c>
      <c r="B11" s="11" t="n">
        <v>9400</v>
      </c>
      <c r="C11" s="12" t="n">
        <v>0.06900000000000001</v>
      </c>
      <c r="D11" s="11" t="n">
        <v>260</v>
      </c>
      <c r="E11" s="13">
        <f>IF(N(B11)=0,"",IF($B$4="Avalanche",COUNTIFS($B$9:$B$18,"&gt;0",$C$9:$C$18,"&gt;"&amp;C11)+COUNTIFS($B$9:$B$18,"&gt;0",$C$9:$C$18,C11,$B$9:$B$18,"&lt;"&amp;B11)+COUNTIFS($A$9:A11,"&lt;&gt;",$B$9:B11,B11,$C$9:C11,C11),COUNTIFS($B$9:$B$18,"&gt;0",$B$9:$B$18,"&lt;"&amp;B11)+COUNTIFS($B$9:B11,B11)))</f>
        <v/>
      </c>
      <c r="F11" s="13">
        <f>IF(N(B11)=0,"",IF(INDEX(Schedule!D$5:D$244,240)&gt;0,"over 20 years",COUNTIF(Schedule!D$5:D$244,"&gt;0")+1))</f>
        <v/>
      </c>
      <c r="G11" s="14">
        <f>IF(ISNUMBER(F11),DATE(YEAR($B$6),MONTH($B$6)+F11-1,1),"")</f>
        <v/>
      </c>
    </row>
    <row r="12">
      <c r="A12" s="10" t="inlineStr">
        <is>
          <t>Student loan</t>
        </is>
      </c>
      <c r="B12" s="11" t="n">
        <v>14800</v>
      </c>
      <c r="C12" s="12" t="n">
        <v>0.049</v>
      </c>
      <c r="D12" s="11" t="n">
        <v>170</v>
      </c>
      <c r="E12" s="13">
        <f>IF(N(B12)=0,"",IF($B$4="Avalanche",COUNTIFS($B$9:$B$18,"&gt;0",$C$9:$C$18,"&gt;"&amp;C12)+COUNTIFS($B$9:$B$18,"&gt;0",$C$9:$C$18,C12,$B$9:$B$18,"&lt;"&amp;B12)+COUNTIFS($A$9:A12,"&lt;&gt;",$B$9:B12,B12,$C$9:C12,C12),COUNTIFS($B$9:$B$18,"&gt;0",$B$9:$B$18,"&lt;"&amp;B12)+COUNTIFS($B$9:B12,B12)))</f>
        <v/>
      </c>
      <c r="F12" s="13">
        <f>IF(N(B12)=0,"",IF(INDEX(Schedule!E$5:E$244,240)&gt;0,"over 20 years",COUNTIF(Schedule!E$5:E$244,"&gt;0")+1))</f>
        <v/>
      </c>
      <c r="G12" s="14">
        <f>IF(ISNUMBER(F12),DATE(YEAR($B$6),MONTH($B$6)+F12-1,1),"")</f>
        <v/>
      </c>
    </row>
    <row r="13">
      <c r="A13" s="10" t="inlineStr">
        <is>
          <t>Personal loan</t>
        </is>
      </c>
      <c r="B13" s="11" t="n">
        <v>4100</v>
      </c>
      <c r="C13" s="12" t="n">
        <v>0.119</v>
      </c>
      <c r="D13" s="11" t="n">
        <v>140</v>
      </c>
      <c r="E13" s="13">
        <f>IF(N(B13)=0,"",IF($B$4="Avalanche",COUNTIFS($B$9:$B$18,"&gt;0",$C$9:$C$18,"&gt;"&amp;C13)+COUNTIFS($B$9:$B$18,"&gt;0",$C$9:$C$18,C13,$B$9:$B$18,"&lt;"&amp;B13)+COUNTIFS($A$9:A13,"&lt;&gt;",$B$9:B13,B13,$C$9:C13,C13),COUNTIFS($B$9:$B$18,"&gt;0",$B$9:$B$18,"&lt;"&amp;B13)+COUNTIFS($B$9:B13,B13)))</f>
        <v/>
      </c>
      <c r="F13" s="13">
        <f>IF(N(B13)=0,"",IF(INDEX(Schedule!F$5:F$244,240)&gt;0,"over 20 years",COUNTIF(Schedule!F$5:F$244,"&gt;0")+1))</f>
        <v/>
      </c>
      <c r="G13" s="14">
        <f>IF(ISNUMBER(F13),DATE(YEAR($B$6),MONTH($B$6)+F13-1,1),"")</f>
        <v/>
      </c>
    </row>
    <row r="14">
      <c r="A14" s="10" t="inlineStr">
        <is>
          <t>Credit card B</t>
        </is>
      </c>
      <c r="B14" s="11" t="n">
        <v>1900</v>
      </c>
      <c r="C14" s="12" t="n">
        <v>0.199</v>
      </c>
      <c r="D14" s="11" t="n">
        <v>60</v>
      </c>
      <c r="E14" s="13">
        <f>IF(N(B14)=0,"",IF($B$4="Avalanche",COUNTIFS($B$9:$B$18,"&gt;0",$C$9:$C$18,"&gt;"&amp;C14)+COUNTIFS($B$9:$B$18,"&gt;0",$C$9:$C$18,C14,$B$9:$B$18,"&lt;"&amp;B14)+COUNTIFS($A$9:A14,"&lt;&gt;",$B$9:B14,B14,$C$9:C14,C14),COUNTIFS($B$9:$B$18,"&gt;0",$B$9:$B$18,"&lt;"&amp;B14)+COUNTIFS($B$9:B14,B14)))</f>
        <v/>
      </c>
      <c r="F14" s="13">
        <f>IF(N(B14)=0,"",IF(INDEX(Schedule!G$5:G$244,240)&gt;0,"over 20 years",COUNTIF(Schedule!G$5:G$244,"&gt;0")+1))</f>
        <v/>
      </c>
      <c r="G14" s="14">
        <f>IF(ISNUMBER(F14),DATE(YEAR($B$6),MONTH($B$6)+F14-1,1),"")</f>
        <v/>
      </c>
    </row>
    <row r="15">
      <c r="A15" s="10" t="n"/>
      <c r="B15" s="11" t="n"/>
      <c r="C15" s="12" t="n"/>
      <c r="D15" s="11" t="n"/>
      <c r="E15" s="13">
        <f>IF(N(B15)=0,"",IF($B$4="Avalanche",COUNTIFS($B$9:$B$18,"&gt;0",$C$9:$C$18,"&gt;"&amp;C15)+COUNTIFS($B$9:$B$18,"&gt;0",$C$9:$C$18,C15,$B$9:$B$18,"&lt;"&amp;B15)+COUNTIFS($A$9:A15,"&lt;&gt;",$B$9:B15,B15,$C$9:C15,C15),COUNTIFS($B$9:$B$18,"&gt;0",$B$9:$B$18,"&lt;"&amp;B15)+COUNTIFS($B$9:B15,B15)))</f>
        <v/>
      </c>
      <c r="F15" s="13">
        <f>IF(N(B15)=0,"",IF(INDEX(Schedule!H$5:H$244,240)&gt;0,"over 20 years",COUNTIF(Schedule!H$5:H$244,"&gt;0")+1))</f>
        <v/>
      </c>
      <c r="G15" s="14">
        <f>IF(ISNUMBER(F15),DATE(YEAR($B$6),MONTH($B$6)+F15-1,1),"")</f>
        <v/>
      </c>
    </row>
    <row r="16">
      <c r="A16" s="10" t="n"/>
      <c r="B16" s="11" t="n"/>
      <c r="C16" s="12" t="n"/>
      <c r="D16" s="11" t="n"/>
      <c r="E16" s="13">
        <f>IF(N(B16)=0,"",IF($B$4="Avalanche",COUNTIFS($B$9:$B$18,"&gt;0",$C$9:$C$18,"&gt;"&amp;C16)+COUNTIFS($B$9:$B$18,"&gt;0",$C$9:$C$18,C16,$B$9:$B$18,"&lt;"&amp;B16)+COUNTIFS($A$9:A16,"&lt;&gt;",$B$9:B16,B16,$C$9:C16,C16),COUNTIFS($B$9:$B$18,"&gt;0",$B$9:$B$18,"&lt;"&amp;B16)+COUNTIFS($B$9:B16,B16)))</f>
        <v/>
      </c>
      <c r="F16" s="13">
        <f>IF(N(B16)=0,"",IF(INDEX(Schedule!I$5:I$244,240)&gt;0,"over 20 years",COUNTIF(Schedule!I$5:I$244,"&gt;0")+1))</f>
        <v/>
      </c>
      <c r="G16" s="14">
        <f>IF(ISNUMBER(F16),DATE(YEAR($B$6),MONTH($B$6)+F16-1,1),"")</f>
        <v/>
      </c>
    </row>
    <row r="17">
      <c r="A17" s="10" t="n"/>
      <c r="B17" s="11" t="n"/>
      <c r="C17" s="12" t="n"/>
      <c r="D17" s="11" t="n"/>
      <c r="E17" s="13">
        <f>IF(N(B17)=0,"",IF($B$4="Avalanche",COUNTIFS($B$9:$B$18,"&gt;0",$C$9:$C$18,"&gt;"&amp;C17)+COUNTIFS($B$9:$B$18,"&gt;0",$C$9:$C$18,C17,$B$9:$B$18,"&lt;"&amp;B17)+COUNTIFS($A$9:A17,"&lt;&gt;",$B$9:B17,B17,$C$9:C17,C17),COUNTIFS($B$9:$B$18,"&gt;0",$B$9:$B$18,"&lt;"&amp;B17)+COUNTIFS($B$9:B17,B17)))</f>
        <v/>
      </c>
      <c r="F17" s="13">
        <f>IF(N(B17)=0,"",IF(INDEX(Schedule!J$5:J$244,240)&gt;0,"over 20 years",COUNTIF(Schedule!J$5:J$244,"&gt;0")+1))</f>
        <v/>
      </c>
      <c r="G17" s="14">
        <f>IF(ISNUMBER(F17),DATE(YEAR($B$6),MONTH($B$6)+F17-1,1),"")</f>
        <v/>
      </c>
    </row>
    <row r="18">
      <c r="A18" s="10" t="n"/>
      <c r="B18" s="11" t="n"/>
      <c r="C18" s="12" t="n"/>
      <c r="D18" s="11" t="n"/>
      <c r="E18" s="13">
        <f>IF(N(B18)=0,"",IF($B$4="Avalanche",COUNTIFS($B$9:$B$18,"&gt;0",$C$9:$C$18,"&gt;"&amp;C18)+COUNTIFS($B$9:$B$18,"&gt;0",$C$9:$C$18,C18,$B$9:$B$18,"&lt;"&amp;B18)+COUNTIFS($A$9:A18,"&lt;&gt;",$B$9:B18,B18,$C$9:C18,C18),COUNTIFS($B$9:$B$18,"&gt;0",$B$9:$B$18,"&lt;"&amp;B18)+COUNTIFS($B$9:B18,B18)))</f>
        <v/>
      </c>
      <c r="F18" s="13">
        <f>IF(N(B18)=0,"",IF(INDEX(Schedule!K$5:K$244,240)&gt;0,"over 20 years",COUNTIF(Schedule!K$5:K$244,"&gt;0")+1))</f>
        <v/>
      </c>
      <c r="G18" s="14">
        <f>IF(ISNUMBER(F18),DATE(YEAR($B$6),MONTH($B$6)+F18-1,1),"")</f>
        <v/>
      </c>
    </row>
    <row r="19">
      <c r="A19" s="15" t="inlineStr">
        <is>
          <t>Total</t>
        </is>
      </c>
      <c r="B19" s="16">
        <f>SUM(B9:B18)</f>
        <v/>
      </c>
      <c r="D19" s="16">
        <f>SUM(D9:D18)</f>
        <v/>
      </c>
    </row>
    <row r="21">
      <c r="A21" s="3" t="inlineStr">
        <is>
          <t>DEBT-FREE</t>
        </is>
      </c>
    </row>
    <row r="22">
      <c r="A22" s="15" t="inlineStr">
        <is>
          <t>Month number</t>
        </is>
      </c>
      <c r="B22" s="13">
        <f>IF(COUNT(F9:F18)&lt;COUNT(B9:B18),"over 20 years",MAX(F9:F18))</f>
        <v/>
      </c>
    </row>
    <row r="23">
      <c r="A23" s="15" t="inlineStr">
        <is>
          <t>Date</t>
        </is>
      </c>
      <c r="B23" s="14">
        <f>IF(ISNUMBER(B22),DATE(YEAR(B6),MONTH(B6)+B22-1,1),"")</f>
        <v/>
      </c>
    </row>
    <row r="24">
      <c r="A24" s="15" t="inlineStr">
        <is>
          <t>Total paid (approx.)</t>
        </is>
      </c>
      <c r="B24" s="16">
        <f>SUM(Schedule!M5:M244)</f>
        <v/>
      </c>
    </row>
    <row r="25">
      <c r="A25" s="15" t="inlineStr">
        <is>
          <t>Interest (approx.)</t>
        </is>
      </c>
      <c r="B25" s="16">
        <f>B24-B19</f>
        <v/>
      </c>
    </row>
  </sheetData>
  <dataValidations count="1">
    <dataValidation sqref="B4" showDropDown="0" showInputMessage="0" showErrorMessage="0" allowBlank="0" type="list">
      <formula1>"Snowball,Avalanche"</formula1>
    </dataValidation>
  </dataValidations>
  <pageMargins left="0.75" right="0.75" top="1" bottom="1" header="0.5" footer="0.5"/>
</worksheet>
</file>

<file path=xl/worksheets/sheet3.xml><?xml version="1.0" encoding="utf-8"?>
<worksheet xmlns="http://schemas.openxmlformats.org/spreadsheetml/2006/main">
  <sheetPr>
    <tabColor rgb="00E8E0D5"/>
    <outlinePr summaryBelow="1" summaryRight="1"/>
    <pageSetUpPr/>
  </sheetPr>
  <dimension ref="A1:M244"/>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8" customWidth="1" min="12" max="12"/>
    <col width="13" customWidth="1" min="13" max="13"/>
  </cols>
  <sheetData>
    <row r="1" ht="30" customHeight="1">
      <c r="A1" s="1" t="inlineStr">
        <is>
          <t>Schedule</t>
        </is>
      </c>
    </row>
    <row r="2">
      <c r="A2" s="2" t="inlineStr">
        <is>
          <t>Balance of each debt at the end of every month</t>
        </is>
      </c>
    </row>
    <row r="4" ht="22" customHeight="1">
      <c r="A4" s="9" t="inlineStr">
        <is>
          <t>Month</t>
        </is>
      </c>
      <c r="B4" s="9" t="inlineStr">
        <is>
          <t>Debt 1</t>
        </is>
      </c>
      <c r="C4" s="9" t="inlineStr">
        <is>
          <t>Debt 2</t>
        </is>
      </c>
      <c r="D4" s="9" t="inlineStr">
        <is>
          <t>Debt 3</t>
        </is>
      </c>
      <c r="E4" s="9" t="inlineStr">
        <is>
          <t>Debt 4</t>
        </is>
      </c>
      <c r="F4" s="9" t="inlineStr">
        <is>
          <t>Debt 5</t>
        </is>
      </c>
      <c r="G4" s="9" t="inlineStr">
        <is>
          <t>Debt 6</t>
        </is>
      </c>
      <c r="H4" s="9" t="inlineStr">
        <is>
          <t>Debt 7</t>
        </is>
      </c>
      <c r="I4" s="9" t="inlineStr">
        <is>
          <t>Debt 8</t>
        </is>
      </c>
      <c r="J4" s="9" t="inlineStr">
        <is>
          <t>Debt 9</t>
        </is>
      </c>
      <c r="K4" s="9" t="inlineStr">
        <is>
          <t>Debt 10</t>
        </is>
      </c>
      <c r="L4" s="9" t="inlineStr">
        <is>
          <t>Focus</t>
        </is>
      </c>
      <c r="M4" s="9" t="inlineStr">
        <is>
          <t>Paid</t>
        </is>
      </c>
    </row>
    <row r="5">
      <c r="A5" s="17" t="n">
        <v>1</v>
      </c>
      <c r="B5" s="18">
        <f>IF(N(Plan!$B$9)&lt;=0,0,MAX(0,Plan!$B$9*(1+Plan!$C$9/12)-(Plan!$D$9+IF(Plan!$E$9=$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C5" s="18">
        <f>IF(N(Plan!$B$10)&lt;=0,0,MAX(0,Plan!$B$10*(1+Plan!$C$10/12)-(Plan!$D$10+IF(Plan!$E$10=$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D5" s="18">
        <f>IF(N(Plan!$B$11)&lt;=0,0,MAX(0,Plan!$B$11*(1+Plan!$C$11/12)-(Plan!$D$11+IF(Plan!$E$11=$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E5" s="18">
        <f>IF(N(Plan!$B$12)&lt;=0,0,MAX(0,Plan!$B$12*(1+Plan!$C$12/12)-(Plan!$D$12+IF(Plan!$E$12=$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F5" s="18">
        <f>IF(N(Plan!$B$13)&lt;=0,0,MAX(0,Plan!$B$13*(1+Plan!$C$13/12)-(Plan!$D$13+IF(Plan!$E$13=$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G5" s="18">
        <f>IF(N(Plan!$B$14)&lt;=0,0,MAX(0,Plan!$B$14*(1+Plan!$C$14/12)-(Plan!$D$14+IF(Plan!$E$14=$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H5" s="18">
        <f>IF(N(Plan!$B$15)&lt;=0,0,MAX(0,Plan!$B$15*(1+Plan!$C$15/12)-(Plan!$D$15+IF(Plan!$E$15=$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I5" s="18">
        <f>IF(N(Plan!$B$16)&lt;=0,0,MAX(0,Plan!$B$16*(1+Plan!$C$16/12)-(Plan!$D$16+IF(Plan!$E$16=$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J5" s="18">
        <f>IF(N(Plan!$B$17)&lt;=0,0,MAX(0,Plan!$B$17*(1+Plan!$C$17/12)-(Plan!$D$17+IF(Plan!$E$17=$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K5" s="18">
        <f>IF(N(Plan!$B$18)&lt;=0,0,MAX(0,Plan!$B$18*(1+Plan!$C$18/12)-(Plan!$D$18+IF(Plan!$E$18=$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c r="L5" s="19">
        <f>MIN(IF(N(Plan!$B$9)&gt;0,Plan!$E$9,999),IF(N(Plan!$B$10)&gt;0,Plan!$E$10,999),IF(N(Plan!$B$11)&gt;0,Plan!$E$11,999),IF(N(Plan!$B$12)&gt;0,Plan!$E$12,999),IF(N(Plan!$B$13)&gt;0,Plan!$E$13,999),IF(N(Plan!$B$14)&gt;0,Plan!$E$14,999),IF(N(Plan!$B$15)&gt;0,Plan!$E$15,999),IF(N(Plan!$B$16)&gt;0,Plan!$E$16,999),IF(N(Plan!$B$17)&gt;0,Plan!$E$17,999),IF(N(Plan!$B$18)&gt;0,Plan!$E$18,999))</f>
        <v/>
      </c>
      <c r="M5" s="18">
        <f>IF(N(Plan!$B$9)&lt;=0,0,MIN(Plan!$B$9*(1+Plan!$C$9/12),Plan!$D$9+IF(Plan!$E$9=$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IF(N(Plan!$B$10)&lt;=0,0,MIN(Plan!$B$10*(1+Plan!$C$10/12),Plan!$D$10+IF(Plan!$E$10=$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IF(N(Plan!$B$11)&lt;=0,0,MIN(Plan!$B$11*(1+Plan!$C$11/12),Plan!$D$11+IF(Plan!$E$11=$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IF(N(Plan!$B$12)&lt;=0,0,MIN(Plan!$B$12*(1+Plan!$C$12/12),Plan!$D$12+IF(Plan!$E$12=$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IF(N(Plan!$B$13)&lt;=0,0,MIN(Plan!$B$13*(1+Plan!$C$13/12),Plan!$D$13+IF(Plan!$E$13=$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IF(N(Plan!$B$14)&lt;=0,0,MIN(Plan!$B$14*(1+Plan!$C$14/12),Plan!$D$14+IF(Plan!$E$14=$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IF(N(Plan!$B$15)&lt;=0,0,MIN(Plan!$B$15*(1+Plan!$C$15/12),Plan!$D$15+IF(Plan!$E$15=$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IF(N(Plan!$B$16)&lt;=0,0,MIN(Plan!$B$16*(1+Plan!$C$16/12),Plan!$D$16+IF(Plan!$E$16=$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IF(N(Plan!$B$17)&lt;=0,0,MIN(Plan!$B$17*(1+Plan!$C$17/12),Plan!$D$17+IF(Plan!$E$17=$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IF(N(Plan!$B$18)&lt;=0,0,MIN(Plan!$B$18*(1+Plan!$C$18/12),Plan!$D$18+IF(Plan!$E$18=$L5,Plan!$B$5+IF(AND(N(Plan!$B$9)&gt;0,N(Plan!$B$9)&lt;=0),Plan!$D$9,0)+IF(AND(N(Plan!$B$10)&gt;0,N(Plan!$B$10)&lt;=0),Plan!$D$10,0)+IF(AND(N(Plan!$B$11)&gt;0,N(Plan!$B$11)&lt;=0),Plan!$D$11,0)+IF(AND(N(Plan!$B$12)&gt;0,N(Plan!$B$12)&lt;=0),Plan!$D$12,0)+IF(AND(N(Plan!$B$13)&gt;0,N(Plan!$B$13)&lt;=0),Plan!$D$13,0)+IF(AND(N(Plan!$B$14)&gt;0,N(Plan!$B$14)&lt;=0),Plan!$D$14,0)+IF(AND(N(Plan!$B$15)&gt;0,N(Plan!$B$15)&lt;=0),Plan!$D$15,0)+IF(AND(N(Plan!$B$16)&gt;0,N(Plan!$B$16)&lt;=0),Plan!$D$16,0)+IF(AND(N(Plan!$B$17)&gt;0,N(Plan!$B$17)&lt;=0),Plan!$D$17,0)+IF(AND(N(Plan!$B$18)&gt;0,N(Plan!$B$18)&lt;=0),Plan!$D$18,0),0)))</f>
        <v/>
      </c>
    </row>
    <row r="6">
      <c r="A6" s="17" t="n">
        <v>2</v>
      </c>
      <c r="B6" s="18">
        <f>IF(N(B5)&lt;=0,0,MAX(0,B5*(1+Plan!$C$9/12)-(Plan!$D$9+IF(Plan!$E$9=$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C6" s="18">
        <f>IF(N(C5)&lt;=0,0,MAX(0,C5*(1+Plan!$C$10/12)-(Plan!$D$10+IF(Plan!$E$10=$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D6" s="18">
        <f>IF(N(D5)&lt;=0,0,MAX(0,D5*(1+Plan!$C$11/12)-(Plan!$D$11+IF(Plan!$E$11=$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E6" s="18">
        <f>IF(N(E5)&lt;=0,0,MAX(0,E5*(1+Plan!$C$12/12)-(Plan!$D$12+IF(Plan!$E$12=$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F6" s="18">
        <f>IF(N(F5)&lt;=0,0,MAX(0,F5*(1+Plan!$C$13/12)-(Plan!$D$13+IF(Plan!$E$13=$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G6" s="18">
        <f>IF(N(G5)&lt;=0,0,MAX(0,G5*(1+Plan!$C$14/12)-(Plan!$D$14+IF(Plan!$E$14=$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H6" s="18">
        <f>IF(N(H5)&lt;=0,0,MAX(0,H5*(1+Plan!$C$15/12)-(Plan!$D$15+IF(Plan!$E$15=$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I6" s="18">
        <f>IF(N(I5)&lt;=0,0,MAX(0,I5*(1+Plan!$C$16/12)-(Plan!$D$16+IF(Plan!$E$16=$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J6" s="18">
        <f>IF(N(J5)&lt;=0,0,MAX(0,J5*(1+Plan!$C$17/12)-(Plan!$D$17+IF(Plan!$E$17=$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K6" s="18">
        <f>IF(N(K5)&lt;=0,0,MAX(0,K5*(1+Plan!$C$18/12)-(Plan!$D$18+IF(Plan!$E$18=$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c r="L6" s="19">
        <f>MIN(IF(N(B5)&gt;0,Plan!$E$9,999),IF(N(C5)&gt;0,Plan!$E$10,999),IF(N(D5)&gt;0,Plan!$E$11,999),IF(N(E5)&gt;0,Plan!$E$12,999),IF(N(F5)&gt;0,Plan!$E$13,999),IF(N(G5)&gt;0,Plan!$E$14,999),IF(N(H5)&gt;0,Plan!$E$15,999),IF(N(I5)&gt;0,Plan!$E$16,999),IF(N(J5)&gt;0,Plan!$E$17,999),IF(N(K5)&gt;0,Plan!$E$18,999))</f>
        <v/>
      </c>
      <c r="M6" s="18">
        <f>IF(N(B5)&lt;=0,0,MIN(B5*(1+Plan!$C$9/12),Plan!$D$9+IF(Plan!$E$9=$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IF(N(C5)&lt;=0,0,MIN(C5*(1+Plan!$C$10/12),Plan!$D$10+IF(Plan!$E$10=$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IF(N(D5)&lt;=0,0,MIN(D5*(1+Plan!$C$11/12),Plan!$D$11+IF(Plan!$E$11=$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IF(N(E5)&lt;=0,0,MIN(E5*(1+Plan!$C$12/12),Plan!$D$12+IF(Plan!$E$12=$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IF(N(F5)&lt;=0,0,MIN(F5*(1+Plan!$C$13/12),Plan!$D$13+IF(Plan!$E$13=$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IF(N(G5)&lt;=0,0,MIN(G5*(1+Plan!$C$14/12),Plan!$D$14+IF(Plan!$E$14=$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IF(N(H5)&lt;=0,0,MIN(H5*(1+Plan!$C$15/12),Plan!$D$15+IF(Plan!$E$15=$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IF(N(I5)&lt;=0,0,MIN(I5*(1+Plan!$C$16/12),Plan!$D$16+IF(Plan!$E$16=$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IF(N(J5)&lt;=0,0,MIN(J5*(1+Plan!$C$17/12),Plan!$D$17+IF(Plan!$E$17=$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IF(N(K5)&lt;=0,0,MIN(K5*(1+Plan!$C$18/12),Plan!$D$18+IF(Plan!$E$18=$L6,Plan!$B$5+IF(AND(N(Plan!$B$9)&gt;0,N(B5)&lt;=0),Plan!$D$9,0)+IF(AND(N(Plan!$B$10)&gt;0,N(C5)&lt;=0),Plan!$D$10,0)+IF(AND(N(Plan!$B$11)&gt;0,N(D5)&lt;=0),Plan!$D$11,0)+IF(AND(N(Plan!$B$12)&gt;0,N(E5)&lt;=0),Plan!$D$12,0)+IF(AND(N(Plan!$B$13)&gt;0,N(F5)&lt;=0),Plan!$D$13,0)+IF(AND(N(Plan!$B$14)&gt;0,N(G5)&lt;=0),Plan!$D$14,0)+IF(AND(N(Plan!$B$15)&gt;0,N(H5)&lt;=0),Plan!$D$15,0)+IF(AND(N(Plan!$B$16)&gt;0,N(I5)&lt;=0),Plan!$D$16,0)+IF(AND(N(Plan!$B$17)&gt;0,N(J5)&lt;=0),Plan!$D$17,0)+IF(AND(N(Plan!$B$18)&gt;0,N(K5)&lt;=0),Plan!$D$18,0),0)))</f>
        <v/>
      </c>
    </row>
    <row r="7">
      <c r="A7" s="17" t="n">
        <v>3</v>
      </c>
      <c r="B7" s="18">
        <f>IF(N(B6)&lt;=0,0,MAX(0,B6*(1+Plan!$C$9/12)-(Plan!$D$9+IF(Plan!$E$9=$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C7" s="18">
        <f>IF(N(C6)&lt;=0,0,MAX(0,C6*(1+Plan!$C$10/12)-(Plan!$D$10+IF(Plan!$E$10=$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D7" s="18">
        <f>IF(N(D6)&lt;=0,0,MAX(0,D6*(1+Plan!$C$11/12)-(Plan!$D$11+IF(Plan!$E$11=$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E7" s="18">
        <f>IF(N(E6)&lt;=0,0,MAX(0,E6*(1+Plan!$C$12/12)-(Plan!$D$12+IF(Plan!$E$12=$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F7" s="18">
        <f>IF(N(F6)&lt;=0,0,MAX(0,F6*(1+Plan!$C$13/12)-(Plan!$D$13+IF(Plan!$E$13=$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G7" s="18">
        <f>IF(N(G6)&lt;=0,0,MAX(0,G6*(1+Plan!$C$14/12)-(Plan!$D$14+IF(Plan!$E$14=$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H7" s="18">
        <f>IF(N(H6)&lt;=0,0,MAX(0,H6*(1+Plan!$C$15/12)-(Plan!$D$15+IF(Plan!$E$15=$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I7" s="18">
        <f>IF(N(I6)&lt;=0,0,MAX(0,I6*(1+Plan!$C$16/12)-(Plan!$D$16+IF(Plan!$E$16=$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J7" s="18">
        <f>IF(N(J6)&lt;=0,0,MAX(0,J6*(1+Plan!$C$17/12)-(Plan!$D$17+IF(Plan!$E$17=$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K7" s="18">
        <f>IF(N(K6)&lt;=0,0,MAX(0,K6*(1+Plan!$C$18/12)-(Plan!$D$18+IF(Plan!$E$18=$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c r="L7" s="19">
        <f>MIN(IF(N(B6)&gt;0,Plan!$E$9,999),IF(N(C6)&gt;0,Plan!$E$10,999),IF(N(D6)&gt;0,Plan!$E$11,999),IF(N(E6)&gt;0,Plan!$E$12,999),IF(N(F6)&gt;0,Plan!$E$13,999),IF(N(G6)&gt;0,Plan!$E$14,999),IF(N(H6)&gt;0,Plan!$E$15,999),IF(N(I6)&gt;0,Plan!$E$16,999),IF(N(J6)&gt;0,Plan!$E$17,999),IF(N(K6)&gt;0,Plan!$E$18,999))</f>
        <v/>
      </c>
      <c r="M7" s="18">
        <f>IF(N(B6)&lt;=0,0,MIN(B6*(1+Plan!$C$9/12),Plan!$D$9+IF(Plan!$E$9=$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IF(N(C6)&lt;=0,0,MIN(C6*(1+Plan!$C$10/12),Plan!$D$10+IF(Plan!$E$10=$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IF(N(D6)&lt;=0,0,MIN(D6*(1+Plan!$C$11/12),Plan!$D$11+IF(Plan!$E$11=$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IF(N(E6)&lt;=0,0,MIN(E6*(1+Plan!$C$12/12),Plan!$D$12+IF(Plan!$E$12=$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IF(N(F6)&lt;=0,0,MIN(F6*(1+Plan!$C$13/12),Plan!$D$13+IF(Plan!$E$13=$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IF(N(G6)&lt;=0,0,MIN(G6*(1+Plan!$C$14/12),Plan!$D$14+IF(Plan!$E$14=$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IF(N(H6)&lt;=0,0,MIN(H6*(1+Plan!$C$15/12),Plan!$D$15+IF(Plan!$E$15=$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IF(N(I6)&lt;=0,0,MIN(I6*(1+Plan!$C$16/12),Plan!$D$16+IF(Plan!$E$16=$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IF(N(J6)&lt;=0,0,MIN(J6*(1+Plan!$C$17/12),Plan!$D$17+IF(Plan!$E$17=$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IF(N(K6)&lt;=0,0,MIN(K6*(1+Plan!$C$18/12),Plan!$D$18+IF(Plan!$E$18=$L7,Plan!$B$5+IF(AND(N(Plan!$B$9)&gt;0,N(B6)&lt;=0),Plan!$D$9,0)+IF(AND(N(Plan!$B$10)&gt;0,N(C6)&lt;=0),Plan!$D$10,0)+IF(AND(N(Plan!$B$11)&gt;0,N(D6)&lt;=0),Plan!$D$11,0)+IF(AND(N(Plan!$B$12)&gt;0,N(E6)&lt;=0),Plan!$D$12,0)+IF(AND(N(Plan!$B$13)&gt;0,N(F6)&lt;=0),Plan!$D$13,0)+IF(AND(N(Plan!$B$14)&gt;0,N(G6)&lt;=0),Plan!$D$14,0)+IF(AND(N(Plan!$B$15)&gt;0,N(H6)&lt;=0),Plan!$D$15,0)+IF(AND(N(Plan!$B$16)&gt;0,N(I6)&lt;=0),Plan!$D$16,0)+IF(AND(N(Plan!$B$17)&gt;0,N(J6)&lt;=0),Plan!$D$17,0)+IF(AND(N(Plan!$B$18)&gt;0,N(K6)&lt;=0),Plan!$D$18,0),0)))</f>
        <v/>
      </c>
    </row>
    <row r="8">
      <c r="A8" s="17" t="n">
        <v>4</v>
      </c>
      <c r="B8" s="18">
        <f>IF(N(B7)&lt;=0,0,MAX(0,B7*(1+Plan!$C$9/12)-(Plan!$D$9+IF(Plan!$E$9=$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C8" s="18">
        <f>IF(N(C7)&lt;=0,0,MAX(0,C7*(1+Plan!$C$10/12)-(Plan!$D$10+IF(Plan!$E$10=$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D8" s="18">
        <f>IF(N(D7)&lt;=0,0,MAX(0,D7*(1+Plan!$C$11/12)-(Plan!$D$11+IF(Plan!$E$11=$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E8" s="18">
        <f>IF(N(E7)&lt;=0,0,MAX(0,E7*(1+Plan!$C$12/12)-(Plan!$D$12+IF(Plan!$E$12=$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F8" s="18">
        <f>IF(N(F7)&lt;=0,0,MAX(0,F7*(1+Plan!$C$13/12)-(Plan!$D$13+IF(Plan!$E$13=$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G8" s="18">
        <f>IF(N(G7)&lt;=0,0,MAX(0,G7*(1+Plan!$C$14/12)-(Plan!$D$14+IF(Plan!$E$14=$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H8" s="18">
        <f>IF(N(H7)&lt;=0,0,MAX(0,H7*(1+Plan!$C$15/12)-(Plan!$D$15+IF(Plan!$E$15=$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I8" s="18">
        <f>IF(N(I7)&lt;=0,0,MAX(0,I7*(1+Plan!$C$16/12)-(Plan!$D$16+IF(Plan!$E$16=$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J8" s="18">
        <f>IF(N(J7)&lt;=0,0,MAX(0,J7*(1+Plan!$C$17/12)-(Plan!$D$17+IF(Plan!$E$17=$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K8" s="18">
        <f>IF(N(K7)&lt;=0,0,MAX(0,K7*(1+Plan!$C$18/12)-(Plan!$D$18+IF(Plan!$E$18=$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c r="L8" s="19">
        <f>MIN(IF(N(B7)&gt;0,Plan!$E$9,999),IF(N(C7)&gt;0,Plan!$E$10,999),IF(N(D7)&gt;0,Plan!$E$11,999),IF(N(E7)&gt;0,Plan!$E$12,999),IF(N(F7)&gt;0,Plan!$E$13,999),IF(N(G7)&gt;0,Plan!$E$14,999),IF(N(H7)&gt;0,Plan!$E$15,999),IF(N(I7)&gt;0,Plan!$E$16,999),IF(N(J7)&gt;0,Plan!$E$17,999),IF(N(K7)&gt;0,Plan!$E$18,999))</f>
        <v/>
      </c>
      <c r="M8" s="18">
        <f>IF(N(B7)&lt;=0,0,MIN(B7*(1+Plan!$C$9/12),Plan!$D$9+IF(Plan!$E$9=$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IF(N(C7)&lt;=0,0,MIN(C7*(1+Plan!$C$10/12),Plan!$D$10+IF(Plan!$E$10=$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IF(N(D7)&lt;=0,0,MIN(D7*(1+Plan!$C$11/12),Plan!$D$11+IF(Plan!$E$11=$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IF(N(E7)&lt;=0,0,MIN(E7*(1+Plan!$C$12/12),Plan!$D$12+IF(Plan!$E$12=$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IF(N(F7)&lt;=0,0,MIN(F7*(1+Plan!$C$13/12),Plan!$D$13+IF(Plan!$E$13=$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IF(N(G7)&lt;=0,0,MIN(G7*(1+Plan!$C$14/12),Plan!$D$14+IF(Plan!$E$14=$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IF(N(H7)&lt;=0,0,MIN(H7*(1+Plan!$C$15/12),Plan!$D$15+IF(Plan!$E$15=$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IF(N(I7)&lt;=0,0,MIN(I7*(1+Plan!$C$16/12),Plan!$D$16+IF(Plan!$E$16=$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IF(N(J7)&lt;=0,0,MIN(J7*(1+Plan!$C$17/12),Plan!$D$17+IF(Plan!$E$17=$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IF(N(K7)&lt;=0,0,MIN(K7*(1+Plan!$C$18/12),Plan!$D$18+IF(Plan!$E$18=$L8,Plan!$B$5+IF(AND(N(Plan!$B$9)&gt;0,N(B7)&lt;=0),Plan!$D$9,0)+IF(AND(N(Plan!$B$10)&gt;0,N(C7)&lt;=0),Plan!$D$10,0)+IF(AND(N(Plan!$B$11)&gt;0,N(D7)&lt;=0),Plan!$D$11,0)+IF(AND(N(Plan!$B$12)&gt;0,N(E7)&lt;=0),Plan!$D$12,0)+IF(AND(N(Plan!$B$13)&gt;0,N(F7)&lt;=0),Plan!$D$13,0)+IF(AND(N(Plan!$B$14)&gt;0,N(G7)&lt;=0),Plan!$D$14,0)+IF(AND(N(Plan!$B$15)&gt;0,N(H7)&lt;=0),Plan!$D$15,0)+IF(AND(N(Plan!$B$16)&gt;0,N(I7)&lt;=0),Plan!$D$16,0)+IF(AND(N(Plan!$B$17)&gt;0,N(J7)&lt;=0),Plan!$D$17,0)+IF(AND(N(Plan!$B$18)&gt;0,N(K7)&lt;=0),Plan!$D$18,0),0)))</f>
        <v/>
      </c>
    </row>
    <row r="9">
      <c r="A9" s="17" t="n">
        <v>5</v>
      </c>
      <c r="B9" s="18">
        <f>IF(N(B8)&lt;=0,0,MAX(0,B8*(1+Plan!$C$9/12)-(Plan!$D$9+IF(Plan!$E$9=$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C9" s="18">
        <f>IF(N(C8)&lt;=0,0,MAX(0,C8*(1+Plan!$C$10/12)-(Plan!$D$10+IF(Plan!$E$10=$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D9" s="18">
        <f>IF(N(D8)&lt;=0,0,MAX(0,D8*(1+Plan!$C$11/12)-(Plan!$D$11+IF(Plan!$E$11=$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E9" s="18">
        <f>IF(N(E8)&lt;=0,0,MAX(0,E8*(1+Plan!$C$12/12)-(Plan!$D$12+IF(Plan!$E$12=$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F9" s="18">
        <f>IF(N(F8)&lt;=0,0,MAX(0,F8*(1+Plan!$C$13/12)-(Plan!$D$13+IF(Plan!$E$13=$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G9" s="18">
        <f>IF(N(G8)&lt;=0,0,MAX(0,G8*(1+Plan!$C$14/12)-(Plan!$D$14+IF(Plan!$E$14=$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H9" s="18">
        <f>IF(N(H8)&lt;=0,0,MAX(0,H8*(1+Plan!$C$15/12)-(Plan!$D$15+IF(Plan!$E$15=$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I9" s="18">
        <f>IF(N(I8)&lt;=0,0,MAX(0,I8*(1+Plan!$C$16/12)-(Plan!$D$16+IF(Plan!$E$16=$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J9" s="18">
        <f>IF(N(J8)&lt;=0,0,MAX(0,J8*(1+Plan!$C$17/12)-(Plan!$D$17+IF(Plan!$E$17=$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K9" s="18">
        <f>IF(N(K8)&lt;=0,0,MAX(0,K8*(1+Plan!$C$18/12)-(Plan!$D$18+IF(Plan!$E$18=$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c r="L9" s="19">
        <f>MIN(IF(N(B8)&gt;0,Plan!$E$9,999),IF(N(C8)&gt;0,Plan!$E$10,999),IF(N(D8)&gt;0,Plan!$E$11,999),IF(N(E8)&gt;0,Plan!$E$12,999),IF(N(F8)&gt;0,Plan!$E$13,999),IF(N(G8)&gt;0,Plan!$E$14,999),IF(N(H8)&gt;0,Plan!$E$15,999),IF(N(I8)&gt;0,Plan!$E$16,999),IF(N(J8)&gt;0,Plan!$E$17,999),IF(N(K8)&gt;0,Plan!$E$18,999))</f>
        <v/>
      </c>
      <c r="M9" s="18">
        <f>IF(N(B8)&lt;=0,0,MIN(B8*(1+Plan!$C$9/12),Plan!$D$9+IF(Plan!$E$9=$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IF(N(C8)&lt;=0,0,MIN(C8*(1+Plan!$C$10/12),Plan!$D$10+IF(Plan!$E$10=$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IF(N(D8)&lt;=0,0,MIN(D8*(1+Plan!$C$11/12),Plan!$D$11+IF(Plan!$E$11=$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IF(N(E8)&lt;=0,0,MIN(E8*(1+Plan!$C$12/12),Plan!$D$12+IF(Plan!$E$12=$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IF(N(F8)&lt;=0,0,MIN(F8*(1+Plan!$C$13/12),Plan!$D$13+IF(Plan!$E$13=$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IF(N(G8)&lt;=0,0,MIN(G8*(1+Plan!$C$14/12),Plan!$D$14+IF(Plan!$E$14=$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IF(N(H8)&lt;=0,0,MIN(H8*(1+Plan!$C$15/12),Plan!$D$15+IF(Plan!$E$15=$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IF(N(I8)&lt;=0,0,MIN(I8*(1+Plan!$C$16/12),Plan!$D$16+IF(Plan!$E$16=$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IF(N(J8)&lt;=0,0,MIN(J8*(1+Plan!$C$17/12),Plan!$D$17+IF(Plan!$E$17=$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IF(N(K8)&lt;=0,0,MIN(K8*(1+Plan!$C$18/12),Plan!$D$18+IF(Plan!$E$18=$L9,Plan!$B$5+IF(AND(N(Plan!$B$9)&gt;0,N(B8)&lt;=0),Plan!$D$9,0)+IF(AND(N(Plan!$B$10)&gt;0,N(C8)&lt;=0),Plan!$D$10,0)+IF(AND(N(Plan!$B$11)&gt;0,N(D8)&lt;=0),Plan!$D$11,0)+IF(AND(N(Plan!$B$12)&gt;0,N(E8)&lt;=0),Plan!$D$12,0)+IF(AND(N(Plan!$B$13)&gt;0,N(F8)&lt;=0),Plan!$D$13,0)+IF(AND(N(Plan!$B$14)&gt;0,N(G8)&lt;=0),Plan!$D$14,0)+IF(AND(N(Plan!$B$15)&gt;0,N(H8)&lt;=0),Plan!$D$15,0)+IF(AND(N(Plan!$B$16)&gt;0,N(I8)&lt;=0),Plan!$D$16,0)+IF(AND(N(Plan!$B$17)&gt;0,N(J8)&lt;=0),Plan!$D$17,0)+IF(AND(N(Plan!$B$18)&gt;0,N(K8)&lt;=0),Plan!$D$18,0),0)))</f>
        <v/>
      </c>
    </row>
    <row r="10">
      <c r="A10" s="17" t="n">
        <v>6</v>
      </c>
      <c r="B10" s="18">
        <f>IF(N(B9)&lt;=0,0,MAX(0,B9*(1+Plan!$C$9/12)-(Plan!$D$9+IF(Plan!$E$9=$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C10" s="18">
        <f>IF(N(C9)&lt;=0,0,MAX(0,C9*(1+Plan!$C$10/12)-(Plan!$D$10+IF(Plan!$E$10=$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D10" s="18">
        <f>IF(N(D9)&lt;=0,0,MAX(0,D9*(1+Plan!$C$11/12)-(Plan!$D$11+IF(Plan!$E$11=$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E10" s="18">
        <f>IF(N(E9)&lt;=0,0,MAX(0,E9*(1+Plan!$C$12/12)-(Plan!$D$12+IF(Plan!$E$12=$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F10" s="18">
        <f>IF(N(F9)&lt;=0,0,MAX(0,F9*(1+Plan!$C$13/12)-(Plan!$D$13+IF(Plan!$E$13=$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G10" s="18">
        <f>IF(N(G9)&lt;=0,0,MAX(0,G9*(1+Plan!$C$14/12)-(Plan!$D$14+IF(Plan!$E$14=$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H10" s="18">
        <f>IF(N(H9)&lt;=0,0,MAX(0,H9*(1+Plan!$C$15/12)-(Plan!$D$15+IF(Plan!$E$15=$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I10" s="18">
        <f>IF(N(I9)&lt;=0,0,MAX(0,I9*(1+Plan!$C$16/12)-(Plan!$D$16+IF(Plan!$E$16=$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J10" s="18">
        <f>IF(N(J9)&lt;=0,0,MAX(0,J9*(1+Plan!$C$17/12)-(Plan!$D$17+IF(Plan!$E$17=$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K10" s="18">
        <f>IF(N(K9)&lt;=0,0,MAX(0,K9*(1+Plan!$C$18/12)-(Plan!$D$18+IF(Plan!$E$18=$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c r="L10" s="19">
        <f>MIN(IF(N(B9)&gt;0,Plan!$E$9,999),IF(N(C9)&gt;0,Plan!$E$10,999),IF(N(D9)&gt;0,Plan!$E$11,999),IF(N(E9)&gt;0,Plan!$E$12,999),IF(N(F9)&gt;0,Plan!$E$13,999),IF(N(G9)&gt;0,Plan!$E$14,999),IF(N(H9)&gt;0,Plan!$E$15,999),IF(N(I9)&gt;0,Plan!$E$16,999),IF(N(J9)&gt;0,Plan!$E$17,999),IF(N(K9)&gt;0,Plan!$E$18,999))</f>
        <v/>
      </c>
      <c r="M10" s="18">
        <f>IF(N(B9)&lt;=0,0,MIN(B9*(1+Plan!$C$9/12),Plan!$D$9+IF(Plan!$E$9=$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IF(N(C9)&lt;=0,0,MIN(C9*(1+Plan!$C$10/12),Plan!$D$10+IF(Plan!$E$10=$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IF(N(D9)&lt;=0,0,MIN(D9*(1+Plan!$C$11/12),Plan!$D$11+IF(Plan!$E$11=$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IF(N(E9)&lt;=0,0,MIN(E9*(1+Plan!$C$12/12),Plan!$D$12+IF(Plan!$E$12=$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IF(N(F9)&lt;=0,0,MIN(F9*(1+Plan!$C$13/12),Plan!$D$13+IF(Plan!$E$13=$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IF(N(G9)&lt;=0,0,MIN(G9*(1+Plan!$C$14/12),Plan!$D$14+IF(Plan!$E$14=$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IF(N(H9)&lt;=0,0,MIN(H9*(1+Plan!$C$15/12),Plan!$D$15+IF(Plan!$E$15=$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IF(N(I9)&lt;=0,0,MIN(I9*(1+Plan!$C$16/12),Plan!$D$16+IF(Plan!$E$16=$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IF(N(J9)&lt;=0,0,MIN(J9*(1+Plan!$C$17/12),Plan!$D$17+IF(Plan!$E$17=$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IF(N(K9)&lt;=0,0,MIN(K9*(1+Plan!$C$18/12),Plan!$D$18+IF(Plan!$E$18=$L10,Plan!$B$5+IF(AND(N(Plan!$B$9)&gt;0,N(B9)&lt;=0),Plan!$D$9,0)+IF(AND(N(Plan!$B$10)&gt;0,N(C9)&lt;=0),Plan!$D$10,0)+IF(AND(N(Plan!$B$11)&gt;0,N(D9)&lt;=0),Plan!$D$11,0)+IF(AND(N(Plan!$B$12)&gt;0,N(E9)&lt;=0),Plan!$D$12,0)+IF(AND(N(Plan!$B$13)&gt;0,N(F9)&lt;=0),Plan!$D$13,0)+IF(AND(N(Plan!$B$14)&gt;0,N(G9)&lt;=0),Plan!$D$14,0)+IF(AND(N(Plan!$B$15)&gt;0,N(H9)&lt;=0),Plan!$D$15,0)+IF(AND(N(Plan!$B$16)&gt;0,N(I9)&lt;=0),Plan!$D$16,0)+IF(AND(N(Plan!$B$17)&gt;0,N(J9)&lt;=0),Plan!$D$17,0)+IF(AND(N(Plan!$B$18)&gt;0,N(K9)&lt;=0),Plan!$D$18,0),0)))</f>
        <v/>
      </c>
    </row>
    <row r="11">
      <c r="A11" s="17" t="n">
        <v>7</v>
      </c>
      <c r="B11" s="18">
        <f>IF(N(B10)&lt;=0,0,MAX(0,B10*(1+Plan!$C$9/12)-(Plan!$D$9+IF(Plan!$E$9=$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C11" s="18">
        <f>IF(N(C10)&lt;=0,0,MAX(0,C10*(1+Plan!$C$10/12)-(Plan!$D$10+IF(Plan!$E$10=$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D11" s="18">
        <f>IF(N(D10)&lt;=0,0,MAX(0,D10*(1+Plan!$C$11/12)-(Plan!$D$11+IF(Plan!$E$11=$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E11" s="18">
        <f>IF(N(E10)&lt;=0,0,MAX(0,E10*(1+Plan!$C$12/12)-(Plan!$D$12+IF(Plan!$E$12=$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F11" s="18">
        <f>IF(N(F10)&lt;=0,0,MAX(0,F10*(1+Plan!$C$13/12)-(Plan!$D$13+IF(Plan!$E$13=$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G11" s="18">
        <f>IF(N(G10)&lt;=0,0,MAX(0,G10*(1+Plan!$C$14/12)-(Plan!$D$14+IF(Plan!$E$14=$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H11" s="18">
        <f>IF(N(H10)&lt;=0,0,MAX(0,H10*(1+Plan!$C$15/12)-(Plan!$D$15+IF(Plan!$E$15=$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I11" s="18">
        <f>IF(N(I10)&lt;=0,0,MAX(0,I10*(1+Plan!$C$16/12)-(Plan!$D$16+IF(Plan!$E$16=$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J11" s="18">
        <f>IF(N(J10)&lt;=0,0,MAX(0,J10*(1+Plan!$C$17/12)-(Plan!$D$17+IF(Plan!$E$17=$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K11" s="18">
        <f>IF(N(K10)&lt;=0,0,MAX(0,K10*(1+Plan!$C$18/12)-(Plan!$D$18+IF(Plan!$E$18=$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c r="L11" s="19">
        <f>MIN(IF(N(B10)&gt;0,Plan!$E$9,999),IF(N(C10)&gt;0,Plan!$E$10,999),IF(N(D10)&gt;0,Plan!$E$11,999),IF(N(E10)&gt;0,Plan!$E$12,999),IF(N(F10)&gt;0,Plan!$E$13,999),IF(N(G10)&gt;0,Plan!$E$14,999),IF(N(H10)&gt;0,Plan!$E$15,999),IF(N(I10)&gt;0,Plan!$E$16,999),IF(N(J10)&gt;0,Plan!$E$17,999),IF(N(K10)&gt;0,Plan!$E$18,999))</f>
        <v/>
      </c>
      <c r="M11" s="18">
        <f>IF(N(B10)&lt;=0,0,MIN(B10*(1+Plan!$C$9/12),Plan!$D$9+IF(Plan!$E$9=$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IF(N(C10)&lt;=0,0,MIN(C10*(1+Plan!$C$10/12),Plan!$D$10+IF(Plan!$E$10=$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IF(N(D10)&lt;=0,0,MIN(D10*(1+Plan!$C$11/12),Plan!$D$11+IF(Plan!$E$11=$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IF(N(E10)&lt;=0,0,MIN(E10*(1+Plan!$C$12/12),Plan!$D$12+IF(Plan!$E$12=$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IF(N(F10)&lt;=0,0,MIN(F10*(1+Plan!$C$13/12),Plan!$D$13+IF(Plan!$E$13=$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IF(N(G10)&lt;=0,0,MIN(G10*(1+Plan!$C$14/12),Plan!$D$14+IF(Plan!$E$14=$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IF(N(H10)&lt;=0,0,MIN(H10*(1+Plan!$C$15/12),Plan!$D$15+IF(Plan!$E$15=$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IF(N(I10)&lt;=0,0,MIN(I10*(1+Plan!$C$16/12),Plan!$D$16+IF(Plan!$E$16=$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IF(N(J10)&lt;=0,0,MIN(J10*(1+Plan!$C$17/12),Plan!$D$17+IF(Plan!$E$17=$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IF(N(K10)&lt;=0,0,MIN(K10*(1+Plan!$C$18/12),Plan!$D$18+IF(Plan!$E$18=$L11,Plan!$B$5+IF(AND(N(Plan!$B$9)&gt;0,N(B10)&lt;=0),Plan!$D$9,0)+IF(AND(N(Plan!$B$10)&gt;0,N(C10)&lt;=0),Plan!$D$10,0)+IF(AND(N(Plan!$B$11)&gt;0,N(D10)&lt;=0),Plan!$D$11,0)+IF(AND(N(Plan!$B$12)&gt;0,N(E10)&lt;=0),Plan!$D$12,0)+IF(AND(N(Plan!$B$13)&gt;0,N(F10)&lt;=0),Plan!$D$13,0)+IF(AND(N(Plan!$B$14)&gt;0,N(G10)&lt;=0),Plan!$D$14,0)+IF(AND(N(Plan!$B$15)&gt;0,N(H10)&lt;=0),Plan!$D$15,0)+IF(AND(N(Plan!$B$16)&gt;0,N(I10)&lt;=0),Plan!$D$16,0)+IF(AND(N(Plan!$B$17)&gt;0,N(J10)&lt;=0),Plan!$D$17,0)+IF(AND(N(Plan!$B$18)&gt;0,N(K10)&lt;=0),Plan!$D$18,0),0)))</f>
        <v/>
      </c>
    </row>
    <row r="12">
      <c r="A12" s="17" t="n">
        <v>8</v>
      </c>
      <c r="B12" s="18">
        <f>IF(N(B11)&lt;=0,0,MAX(0,B11*(1+Plan!$C$9/12)-(Plan!$D$9+IF(Plan!$E$9=$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C12" s="18">
        <f>IF(N(C11)&lt;=0,0,MAX(0,C11*(1+Plan!$C$10/12)-(Plan!$D$10+IF(Plan!$E$10=$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D12" s="18">
        <f>IF(N(D11)&lt;=0,0,MAX(0,D11*(1+Plan!$C$11/12)-(Plan!$D$11+IF(Plan!$E$11=$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E12" s="18">
        <f>IF(N(E11)&lt;=0,0,MAX(0,E11*(1+Plan!$C$12/12)-(Plan!$D$12+IF(Plan!$E$12=$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F12" s="18">
        <f>IF(N(F11)&lt;=0,0,MAX(0,F11*(1+Plan!$C$13/12)-(Plan!$D$13+IF(Plan!$E$13=$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G12" s="18">
        <f>IF(N(G11)&lt;=0,0,MAX(0,G11*(1+Plan!$C$14/12)-(Plan!$D$14+IF(Plan!$E$14=$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H12" s="18">
        <f>IF(N(H11)&lt;=0,0,MAX(0,H11*(1+Plan!$C$15/12)-(Plan!$D$15+IF(Plan!$E$15=$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I12" s="18">
        <f>IF(N(I11)&lt;=0,0,MAX(0,I11*(1+Plan!$C$16/12)-(Plan!$D$16+IF(Plan!$E$16=$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J12" s="18">
        <f>IF(N(J11)&lt;=0,0,MAX(0,J11*(1+Plan!$C$17/12)-(Plan!$D$17+IF(Plan!$E$17=$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K12" s="18">
        <f>IF(N(K11)&lt;=0,0,MAX(0,K11*(1+Plan!$C$18/12)-(Plan!$D$18+IF(Plan!$E$18=$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c r="L12" s="19">
        <f>MIN(IF(N(B11)&gt;0,Plan!$E$9,999),IF(N(C11)&gt;0,Plan!$E$10,999),IF(N(D11)&gt;0,Plan!$E$11,999),IF(N(E11)&gt;0,Plan!$E$12,999),IF(N(F11)&gt;0,Plan!$E$13,999),IF(N(G11)&gt;0,Plan!$E$14,999),IF(N(H11)&gt;0,Plan!$E$15,999),IF(N(I11)&gt;0,Plan!$E$16,999),IF(N(J11)&gt;0,Plan!$E$17,999),IF(N(K11)&gt;0,Plan!$E$18,999))</f>
        <v/>
      </c>
      <c r="M12" s="18">
        <f>IF(N(B11)&lt;=0,0,MIN(B11*(1+Plan!$C$9/12),Plan!$D$9+IF(Plan!$E$9=$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IF(N(C11)&lt;=0,0,MIN(C11*(1+Plan!$C$10/12),Plan!$D$10+IF(Plan!$E$10=$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IF(N(D11)&lt;=0,0,MIN(D11*(1+Plan!$C$11/12),Plan!$D$11+IF(Plan!$E$11=$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IF(N(E11)&lt;=0,0,MIN(E11*(1+Plan!$C$12/12),Plan!$D$12+IF(Plan!$E$12=$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IF(N(F11)&lt;=0,0,MIN(F11*(1+Plan!$C$13/12),Plan!$D$13+IF(Plan!$E$13=$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IF(N(G11)&lt;=0,0,MIN(G11*(1+Plan!$C$14/12),Plan!$D$14+IF(Plan!$E$14=$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IF(N(H11)&lt;=0,0,MIN(H11*(1+Plan!$C$15/12),Plan!$D$15+IF(Plan!$E$15=$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IF(N(I11)&lt;=0,0,MIN(I11*(1+Plan!$C$16/12),Plan!$D$16+IF(Plan!$E$16=$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IF(N(J11)&lt;=0,0,MIN(J11*(1+Plan!$C$17/12),Plan!$D$17+IF(Plan!$E$17=$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IF(N(K11)&lt;=0,0,MIN(K11*(1+Plan!$C$18/12),Plan!$D$18+IF(Plan!$E$18=$L12,Plan!$B$5+IF(AND(N(Plan!$B$9)&gt;0,N(B11)&lt;=0),Plan!$D$9,0)+IF(AND(N(Plan!$B$10)&gt;0,N(C11)&lt;=0),Plan!$D$10,0)+IF(AND(N(Plan!$B$11)&gt;0,N(D11)&lt;=0),Plan!$D$11,0)+IF(AND(N(Plan!$B$12)&gt;0,N(E11)&lt;=0),Plan!$D$12,0)+IF(AND(N(Plan!$B$13)&gt;0,N(F11)&lt;=0),Plan!$D$13,0)+IF(AND(N(Plan!$B$14)&gt;0,N(G11)&lt;=0),Plan!$D$14,0)+IF(AND(N(Plan!$B$15)&gt;0,N(H11)&lt;=0),Plan!$D$15,0)+IF(AND(N(Plan!$B$16)&gt;0,N(I11)&lt;=0),Plan!$D$16,0)+IF(AND(N(Plan!$B$17)&gt;0,N(J11)&lt;=0),Plan!$D$17,0)+IF(AND(N(Plan!$B$18)&gt;0,N(K11)&lt;=0),Plan!$D$18,0),0)))</f>
        <v/>
      </c>
    </row>
    <row r="13">
      <c r="A13" s="17" t="n">
        <v>9</v>
      </c>
      <c r="B13" s="18">
        <f>IF(N(B12)&lt;=0,0,MAX(0,B12*(1+Plan!$C$9/12)-(Plan!$D$9+IF(Plan!$E$9=$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C13" s="18">
        <f>IF(N(C12)&lt;=0,0,MAX(0,C12*(1+Plan!$C$10/12)-(Plan!$D$10+IF(Plan!$E$10=$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D13" s="18">
        <f>IF(N(D12)&lt;=0,0,MAX(0,D12*(1+Plan!$C$11/12)-(Plan!$D$11+IF(Plan!$E$11=$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E13" s="18">
        <f>IF(N(E12)&lt;=0,0,MAX(0,E12*(1+Plan!$C$12/12)-(Plan!$D$12+IF(Plan!$E$12=$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F13" s="18">
        <f>IF(N(F12)&lt;=0,0,MAX(0,F12*(1+Plan!$C$13/12)-(Plan!$D$13+IF(Plan!$E$13=$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G13" s="18">
        <f>IF(N(G12)&lt;=0,0,MAX(0,G12*(1+Plan!$C$14/12)-(Plan!$D$14+IF(Plan!$E$14=$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H13" s="18">
        <f>IF(N(H12)&lt;=0,0,MAX(0,H12*(1+Plan!$C$15/12)-(Plan!$D$15+IF(Plan!$E$15=$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I13" s="18">
        <f>IF(N(I12)&lt;=0,0,MAX(0,I12*(1+Plan!$C$16/12)-(Plan!$D$16+IF(Plan!$E$16=$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J13" s="18">
        <f>IF(N(J12)&lt;=0,0,MAX(0,J12*(1+Plan!$C$17/12)-(Plan!$D$17+IF(Plan!$E$17=$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K13" s="18">
        <f>IF(N(K12)&lt;=0,0,MAX(0,K12*(1+Plan!$C$18/12)-(Plan!$D$18+IF(Plan!$E$18=$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c r="L13" s="19">
        <f>MIN(IF(N(B12)&gt;0,Plan!$E$9,999),IF(N(C12)&gt;0,Plan!$E$10,999),IF(N(D12)&gt;0,Plan!$E$11,999),IF(N(E12)&gt;0,Plan!$E$12,999),IF(N(F12)&gt;0,Plan!$E$13,999),IF(N(G12)&gt;0,Plan!$E$14,999),IF(N(H12)&gt;0,Plan!$E$15,999),IF(N(I12)&gt;0,Plan!$E$16,999),IF(N(J12)&gt;0,Plan!$E$17,999),IF(N(K12)&gt;0,Plan!$E$18,999))</f>
        <v/>
      </c>
      <c r="M13" s="18">
        <f>IF(N(B12)&lt;=0,0,MIN(B12*(1+Plan!$C$9/12),Plan!$D$9+IF(Plan!$E$9=$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IF(N(C12)&lt;=0,0,MIN(C12*(1+Plan!$C$10/12),Plan!$D$10+IF(Plan!$E$10=$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IF(N(D12)&lt;=0,0,MIN(D12*(1+Plan!$C$11/12),Plan!$D$11+IF(Plan!$E$11=$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IF(N(E12)&lt;=0,0,MIN(E12*(1+Plan!$C$12/12),Plan!$D$12+IF(Plan!$E$12=$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IF(N(F12)&lt;=0,0,MIN(F12*(1+Plan!$C$13/12),Plan!$D$13+IF(Plan!$E$13=$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IF(N(G12)&lt;=0,0,MIN(G12*(1+Plan!$C$14/12),Plan!$D$14+IF(Plan!$E$14=$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IF(N(H12)&lt;=0,0,MIN(H12*(1+Plan!$C$15/12),Plan!$D$15+IF(Plan!$E$15=$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IF(N(I12)&lt;=0,0,MIN(I12*(1+Plan!$C$16/12),Plan!$D$16+IF(Plan!$E$16=$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IF(N(J12)&lt;=0,0,MIN(J12*(1+Plan!$C$17/12),Plan!$D$17+IF(Plan!$E$17=$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IF(N(K12)&lt;=0,0,MIN(K12*(1+Plan!$C$18/12),Plan!$D$18+IF(Plan!$E$18=$L13,Plan!$B$5+IF(AND(N(Plan!$B$9)&gt;0,N(B12)&lt;=0),Plan!$D$9,0)+IF(AND(N(Plan!$B$10)&gt;0,N(C12)&lt;=0),Plan!$D$10,0)+IF(AND(N(Plan!$B$11)&gt;0,N(D12)&lt;=0),Plan!$D$11,0)+IF(AND(N(Plan!$B$12)&gt;0,N(E12)&lt;=0),Plan!$D$12,0)+IF(AND(N(Plan!$B$13)&gt;0,N(F12)&lt;=0),Plan!$D$13,0)+IF(AND(N(Plan!$B$14)&gt;0,N(G12)&lt;=0),Plan!$D$14,0)+IF(AND(N(Plan!$B$15)&gt;0,N(H12)&lt;=0),Plan!$D$15,0)+IF(AND(N(Plan!$B$16)&gt;0,N(I12)&lt;=0),Plan!$D$16,0)+IF(AND(N(Plan!$B$17)&gt;0,N(J12)&lt;=0),Plan!$D$17,0)+IF(AND(N(Plan!$B$18)&gt;0,N(K12)&lt;=0),Plan!$D$18,0),0)))</f>
        <v/>
      </c>
    </row>
    <row r="14">
      <c r="A14" s="17" t="n">
        <v>10</v>
      </c>
      <c r="B14" s="18">
        <f>IF(N(B13)&lt;=0,0,MAX(0,B13*(1+Plan!$C$9/12)-(Plan!$D$9+IF(Plan!$E$9=$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C14" s="18">
        <f>IF(N(C13)&lt;=0,0,MAX(0,C13*(1+Plan!$C$10/12)-(Plan!$D$10+IF(Plan!$E$10=$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D14" s="18">
        <f>IF(N(D13)&lt;=0,0,MAX(0,D13*(1+Plan!$C$11/12)-(Plan!$D$11+IF(Plan!$E$11=$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E14" s="18">
        <f>IF(N(E13)&lt;=0,0,MAX(0,E13*(1+Plan!$C$12/12)-(Plan!$D$12+IF(Plan!$E$12=$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F14" s="18">
        <f>IF(N(F13)&lt;=0,0,MAX(0,F13*(1+Plan!$C$13/12)-(Plan!$D$13+IF(Plan!$E$13=$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G14" s="18">
        <f>IF(N(G13)&lt;=0,0,MAX(0,G13*(1+Plan!$C$14/12)-(Plan!$D$14+IF(Plan!$E$14=$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H14" s="18">
        <f>IF(N(H13)&lt;=0,0,MAX(0,H13*(1+Plan!$C$15/12)-(Plan!$D$15+IF(Plan!$E$15=$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I14" s="18">
        <f>IF(N(I13)&lt;=0,0,MAX(0,I13*(1+Plan!$C$16/12)-(Plan!$D$16+IF(Plan!$E$16=$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J14" s="18">
        <f>IF(N(J13)&lt;=0,0,MAX(0,J13*(1+Plan!$C$17/12)-(Plan!$D$17+IF(Plan!$E$17=$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K14" s="18">
        <f>IF(N(K13)&lt;=0,0,MAX(0,K13*(1+Plan!$C$18/12)-(Plan!$D$18+IF(Plan!$E$18=$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c r="L14" s="19">
        <f>MIN(IF(N(B13)&gt;0,Plan!$E$9,999),IF(N(C13)&gt;0,Plan!$E$10,999),IF(N(D13)&gt;0,Plan!$E$11,999),IF(N(E13)&gt;0,Plan!$E$12,999),IF(N(F13)&gt;0,Plan!$E$13,999),IF(N(G13)&gt;0,Plan!$E$14,999),IF(N(H13)&gt;0,Plan!$E$15,999),IF(N(I13)&gt;0,Plan!$E$16,999),IF(N(J13)&gt;0,Plan!$E$17,999),IF(N(K13)&gt;0,Plan!$E$18,999))</f>
        <v/>
      </c>
      <c r="M14" s="18">
        <f>IF(N(B13)&lt;=0,0,MIN(B13*(1+Plan!$C$9/12),Plan!$D$9+IF(Plan!$E$9=$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IF(N(C13)&lt;=0,0,MIN(C13*(1+Plan!$C$10/12),Plan!$D$10+IF(Plan!$E$10=$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IF(N(D13)&lt;=0,0,MIN(D13*(1+Plan!$C$11/12),Plan!$D$11+IF(Plan!$E$11=$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IF(N(E13)&lt;=0,0,MIN(E13*(1+Plan!$C$12/12),Plan!$D$12+IF(Plan!$E$12=$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IF(N(F13)&lt;=0,0,MIN(F13*(1+Plan!$C$13/12),Plan!$D$13+IF(Plan!$E$13=$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IF(N(G13)&lt;=0,0,MIN(G13*(1+Plan!$C$14/12),Plan!$D$14+IF(Plan!$E$14=$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IF(N(H13)&lt;=0,0,MIN(H13*(1+Plan!$C$15/12),Plan!$D$15+IF(Plan!$E$15=$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IF(N(I13)&lt;=0,0,MIN(I13*(1+Plan!$C$16/12),Plan!$D$16+IF(Plan!$E$16=$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IF(N(J13)&lt;=0,0,MIN(J13*(1+Plan!$C$17/12),Plan!$D$17+IF(Plan!$E$17=$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IF(N(K13)&lt;=0,0,MIN(K13*(1+Plan!$C$18/12),Plan!$D$18+IF(Plan!$E$18=$L14,Plan!$B$5+IF(AND(N(Plan!$B$9)&gt;0,N(B13)&lt;=0),Plan!$D$9,0)+IF(AND(N(Plan!$B$10)&gt;0,N(C13)&lt;=0),Plan!$D$10,0)+IF(AND(N(Plan!$B$11)&gt;0,N(D13)&lt;=0),Plan!$D$11,0)+IF(AND(N(Plan!$B$12)&gt;0,N(E13)&lt;=0),Plan!$D$12,0)+IF(AND(N(Plan!$B$13)&gt;0,N(F13)&lt;=0),Plan!$D$13,0)+IF(AND(N(Plan!$B$14)&gt;0,N(G13)&lt;=0),Plan!$D$14,0)+IF(AND(N(Plan!$B$15)&gt;0,N(H13)&lt;=0),Plan!$D$15,0)+IF(AND(N(Plan!$B$16)&gt;0,N(I13)&lt;=0),Plan!$D$16,0)+IF(AND(N(Plan!$B$17)&gt;0,N(J13)&lt;=0),Plan!$D$17,0)+IF(AND(N(Plan!$B$18)&gt;0,N(K13)&lt;=0),Plan!$D$18,0),0)))</f>
        <v/>
      </c>
    </row>
    <row r="15">
      <c r="A15" s="17" t="n">
        <v>11</v>
      </c>
      <c r="B15" s="18">
        <f>IF(N(B14)&lt;=0,0,MAX(0,B14*(1+Plan!$C$9/12)-(Plan!$D$9+IF(Plan!$E$9=$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C15" s="18">
        <f>IF(N(C14)&lt;=0,0,MAX(0,C14*(1+Plan!$C$10/12)-(Plan!$D$10+IF(Plan!$E$10=$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D15" s="18">
        <f>IF(N(D14)&lt;=0,0,MAX(0,D14*(1+Plan!$C$11/12)-(Plan!$D$11+IF(Plan!$E$11=$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E15" s="18">
        <f>IF(N(E14)&lt;=0,0,MAX(0,E14*(1+Plan!$C$12/12)-(Plan!$D$12+IF(Plan!$E$12=$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F15" s="18">
        <f>IF(N(F14)&lt;=0,0,MAX(0,F14*(1+Plan!$C$13/12)-(Plan!$D$13+IF(Plan!$E$13=$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G15" s="18">
        <f>IF(N(G14)&lt;=0,0,MAX(0,G14*(1+Plan!$C$14/12)-(Plan!$D$14+IF(Plan!$E$14=$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H15" s="18">
        <f>IF(N(H14)&lt;=0,0,MAX(0,H14*(1+Plan!$C$15/12)-(Plan!$D$15+IF(Plan!$E$15=$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I15" s="18">
        <f>IF(N(I14)&lt;=0,0,MAX(0,I14*(1+Plan!$C$16/12)-(Plan!$D$16+IF(Plan!$E$16=$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J15" s="18">
        <f>IF(N(J14)&lt;=0,0,MAX(0,J14*(1+Plan!$C$17/12)-(Plan!$D$17+IF(Plan!$E$17=$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K15" s="18">
        <f>IF(N(K14)&lt;=0,0,MAX(0,K14*(1+Plan!$C$18/12)-(Plan!$D$18+IF(Plan!$E$18=$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c r="L15" s="19">
        <f>MIN(IF(N(B14)&gt;0,Plan!$E$9,999),IF(N(C14)&gt;0,Plan!$E$10,999),IF(N(D14)&gt;0,Plan!$E$11,999),IF(N(E14)&gt;0,Plan!$E$12,999),IF(N(F14)&gt;0,Plan!$E$13,999),IF(N(G14)&gt;0,Plan!$E$14,999),IF(N(H14)&gt;0,Plan!$E$15,999),IF(N(I14)&gt;0,Plan!$E$16,999),IF(N(J14)&gt;0,Plan!$E$17,999),IF(N(K14)&gt;0,Plan!$E$18,999))</f>
        <v/>
      </c>
      <c r="M15" s="18">
        <f>IF(N(B14)&lt;=0,0,MIN(B14*(1+Plan!$C$9/12),Plan!$D$9+IF(Plan!$E$9=$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IF(N(C14)&lt;=0,0,MIN(C14*(1+Plan!$C$10/12),Plan!$D$10+IF(Plan!$E$10=$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IF(N(D14)&lt;=0,0,MIN(D14*(1+Plan!$C$11/12),Plan!$D$11+IF(Plan!$E$11=$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IF(N(E14)&lt;=0,0,MIN(E14*(1+Plan!$C$12/12),Plan!$D$12+IF(Plan!$E$12=$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IF(N(F14)&lt;=0,0,MIN(F14*(1+Plan!$C$13/12),Plan!$D$13+IF(Plan!$E$13=$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IF(N(G14)&lt;=0,0,MIN(G14*(1+Plan!$C$14/12),Plan!$D$14+IF(Plan!$E$14=$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IF(N(H14)&lt;=0,0,MIN(H14*(1+Plan!$C$15/12),Plan!$D$15+IF(Plan!$E$15=$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IF(N(I14)&lt;=0,0,MIN(I14*(1+Plan!$C$16/12),Plan!$D$16+IF(Plan!$E$16=$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IF(N(J14)&lt;=0,0,MIN(J14*(1+Plan!$C$17/12),Plan!$D$17+IF(Plan!$E$17=$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IF(N(K14)&lt;=0,0,MIN(K14*(1+Plan!$C$18/12),Plan!$D$18+IF(Plan!$E$18=$L15,Plan!$B$5+IF(AND(N(Plan!$B$9)&gt;0,N(B14)&lt;=0),Plan!$D$9,0)+IF(AND(N(Plan!$B$10)&gt;0,N(C14)&lt;=0),Plan!$D$10,0)+IF(AND(N(Plan!$B$11)&gt;0,N(D14)&lt;=0),Plan!$D$11,0)+IF(AND(N(Plan!$B$12)&gt;0,N(E14)&lt;=0),Plan!$D$12,0)+IF(AND(N(Plan!$B$13)&gt;0,N(F14)&lt;=0),Plan!$D$13,0)+IF(AND(N(Plan!$B$14)&gt;0,N(G14)&lt;=0),Plan!$D$14,0)+IF(AND(N(Plan!$B$15)&gt;0,N(H14)&lt;=0),Plan!$D$15,0)+IF(AND(N(Plan!$B$16)&gt;0,N(I14)&lt;=0),Plan!$D$16,0)+IF(AND(N(Plan!$B$17)&gt;0,N(J14)&lt;=0),Plan!$D$17,0)+IF(AND(N(Plan!$B$18)&gt;0,N(K14)&lt;=0),Plan!$D$18,0),0)))</f>
        <v/>
      </c>
    </row>
    <row r="16">
      <c r="A16" s="17" t="n">
        <v>12</v>
      </c>
      <c r="B16" s="18">
        <f>IF(N(B15)&lt;=0,0,MAX(0,B15*(1+Plan!$C$9/12)-(Plan!$D$9+IF(Plan!$E$9=$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C16" s="18">
        <f>IF(N(C15)&lt;=0,0,MAX(0,C15*(1+Plan!$C$10/12)-(Plan!$D$10+IF(Plan!$E$10=$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D16" s="18">
        <f>IF(N(D15)&lt;=0,0,MAX(0,D15*(1+Plan!$C$11/12)-(Plan!$D$11+IF(Plan!$E$11=$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E16" s="18">
        <f>IF(N(E15)&lt;=0,0,MAX(0,E15*(1+Plan!$C$12/12)-(Plan!$D$12+IF(Plan!$E$12=$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F16" s="18">
        <f>IF(N(F15)&lt;=0,0,MAX(0,F15*(1+Plan!$C$13/12)-(Plan!$D$13+IF(Plan!$E$13=$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G16" s="18">
        <f>IF(N(G15)&lt;=0,0,MAX(0,G15*(1+Plan!$C$14/12)-(Plan!$D$14+IF(Plan!$E$14=$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H16" s="18">
        <f>IF(N(H15)&lt;=0,0,MAX(0,H15*(1+Plan!$C$15/12)-(Plan!$D$15+IF(Plan!$E$15=$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I16" s="18">
        <f>IF(N(I15)&lt;=0,0,MAX(0,I15*(1+Plan!$C$16/12)-(Plan!$D$16+IF(Plan!$E$16=$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J16" s="18">
        <f>IF(N(J15)&lt;=0,0,MAX(0,J15*(1+Plan!$C$17/12)-(Plan!$D$17+IF(Plan!$E$17=$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K16" s="18">
        <f>IF(N(K15)&lt;=0,0,MAX(0,K15*(1+Plan!$C$18/12)-(Plan!$D$18+IF(Plan!$E$18=$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c r="L16" s="19">
        <f>MIN(IF(N(B15)&gt;0,Plan!$E$9,999),IF(N(C15)&gt;0,Plan!$E$10,999),IF(N(D15)&gt;0,Plan!$E$11,999),IF(N(E15)&gt;0,Plan!$E$12,999),IF(N(F15)&gt;0,Plan!$E$13,999),IF(N(G15)&gt;0,Plan!$E$14,999),IF(N(H15)&gt;0,Plan!$E$15,999),IF(N(I15)&gt;0,Plan!$E$16,999),IF(N(J15)&gt;0,Plan!$E$17,999),IF(N(K15)&gt;0,Plan!$E$18,999))</f>
        <v/>
      </c>
      <c r="M16" s="18">
        <f>IF(N(B15)&lt;=0,0,MIN(B15*(1+Plan!$C$9/12),Plan!$D$9+IF(Plan!$E$9=$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IF(N(C15)&lt;=0,0,MIN(C15*(1+Plan!$C$10/12),Plan!$D$10+IF(Plan!$E$10=$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IF(N(D15)&lt;=0,0,MIN(D15*(1+Plan!$C$11/12),Plan!$D$11+IF(Plan!$E$11=$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IF(N(E15)&lt;=0,0,MIN(E15*(1+Plan!$C$12/12),Plan!$D$12+IF(Plan!$E$12=$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IF(N(F15)&lt;=0,0,MIN(F15*(1+Plan!$C$13/12),Plan!$D$13+IF(Plan!$E$13=$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IF(N(G15)&lt;=0,0,MIN(G15*(1+Plan!$C$14/12),Plan!$D$14+IF(Plan!$E$14=$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IF(N(H15)&lt;=0,0,MIN(H15*(1+Plan!$C$15/12),Plan!$D$15+IF(Plan!$E$15=$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IF(N(I15)&lt;=0,0,MIN(I15*(1+Plan!$C$16/12),Plan!$D$16+IF(Plan!$E$16=$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IF(N(J15)&lt;=0,0,MIN(J15*(1+Plan!$C$17/12),Plan!$D$17+IF(Plan!$E$17=$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IF(N(K15)&lt;=0,0,MIN(K15*(1+Plan!$C$18/12),Plan!$D$18+IF(Plan!$E$18=$L16,Plan!$B$5+IF(AND(N(Plan!$B$9)&gt;0,N(B15)&lt;=0),Plan!$D$9,0)+IF(AND(N(Plan!$B$10)&gt;0,N(C15)&lt;=0),Plan!$D$10,0)+IF(AND(N(Plan!$B$11)&gt;0,N(D15)&lt;=0),Plan!$D$11,0)+IF(AND(N(Plan!$B$12)&gt;0,N(E15)&lt;=0),Plan!$D$12,0)+IF(AND(N(Plan!$B$13)&gt;0,N(F15)&lt;=0),Plan!$D$13,0)+IF(AND(N(Plan!$B$14)&gt;0,N(G15)&lt;=0),Plan!$D$14,0)+IF(AND(N(Plan!$B$15)&gt;0,N(H15)&lt;=0),Plan!$D$15,0)+IF(AND(N(Plan!$B$16)&gt;0,N(I15)&lt;=0),Plan!$D$16,0)+IF(AND(N(Plan!$B$17)&gt;0,N(J15)&lt;=0),Plan!$D$17,0)+IF(AND(N(Plan!$B$18)&gt;0,N(K15)&lt;=0),Plan!$D$18,0),0)))</f>
        <v/>
      </c>
    </row>
    <row r="17">
      <c r="A17" s="17" t="n">
        <v>13</v>
      </c>
      <c r="B17" s="18">
        <f>IF(N(B16)&lt;=0,0,MAX(0,B16*(1+Plan!$C$9/12)-(Plan!$D$9+IF(Plan!$E$9=$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C17" s="18">
        <f>IF(N(C16)&lt;=0,0,MAX(0,C16*(1+Plan!$C$10/12)-(Plan!$D$10+IF(Plan!$E$10=$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D17" s="18">
        <f>IF(N(D16)&lt;=0,0,MAX(0,D16*(1+Plan!$C$11/12)-(Plan!$D$11+IF(Plan!$E$11=$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E17" s="18">
        <f>IF(N(E16)&lt;=0,0,MAX(0,E16*(1+Plan!$C$12/12)-(Plan!$D$12+IF(Plan!$E$12=$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F17" s="18">
        <f>IF(N(F16)&lt;=0,0,MAX(0,F16*(1+Plan!$C$13/12)-(Plan!$D$13+IF(Plan!$E$13=$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G17" s="18">
        <f>IF(N(G16)&lt;=0,0,MAX(0,G16*(1+Plan!$C$14/12)-(Plan!$D$14+IF(Plan!$E$14=$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H17" s="18">
        <f>IF(N(H16)&lt;=0,0,MAX(0,H16*(1+Plan!$C$15/12)-(Plan!$D$15+IF(Plan!$E$15=$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I17" s="18">
        <f>IF(N(I16)&lt;=0,0,MAX(0,I16*(1+Plan!$C$16/12)-(Plan!$D$16+IF(Plan!$E$16=$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J17" s="18">
        <f>IF(N(J16)&lt;=0,0,MAX(0,J16*(1+Plan!$C$17/12)-(Plan!$D$17+IF(Plan!$E$17=$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K17" s="18">
        <f>IF(N(K16)&lt;=0,0,MAX(0,K16*(1+Plan!$C$18/12)-(Plan!$D$18+IF(Plan!$E$18=$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c r="L17" s="19">
        <f>MIN(IF(N(B16)&gt;0,Plan!$E$9,999),IF(N(C16)&gt;0,Plan!$E$10,999),IF(N(D16)&gt;0,Plan!$E$11,999),IF(N(E16)&gt;0,Plan!$E$12,999),IF(N(F16)&gt;0,Plan!$E$13,999),IF(N(G16)&gt;0,Plan!$E$14,999),IF(N(H16)&gt;0,Plan!$E$15,999),IF(N(I16)&gt;0,Plan!$E$16,999),IF(N(J16)&gt;0,Plan!$E$17,999),IF(N(K16)&gt;0,Plan!$E$18,999))</f>
        <v/>
      </c>
      <c r="M17" s="18">
        <f>IF(N(B16)&lt;=0,0,MIN(B16*(1+Plan!$C$9/12),Plan!$D$9+IF(Plan!$E$9=$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IF(N(C16)&lt;=0,0,MIN(C16*(1+Plan!$C$10/12),Plan!$D$10+IF(Plan!$E$10=$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IF(N(D16)&lt;=0,0,MIN(D16*(1+Plan!$C$11/12),Plan!$D$11+IF(Plan!$E$11=$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IF(N(E16)&lt;=0,0,MIN(E16*(1+Plan!$C$12/12),Plan!$D$12+IF(Plan!$E$12=$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IF(N(F16)&lt;=0,0,MIN(F16*(1+Plan!$C$13/12),Plan!$D$13+IF(Plan!$E$13=$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IF(N(G16)&lt;=0,0,MIN(G16*(1+Plan!$C$14/12),Plan!$D$14+IF(Plan!$E$14=$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IF(N(H16)&lt;=0,0,MIN(H16*(1+Plan!$C$15/12),Plan!$D$15+IF(Plan!$E$15=$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IF(N(I16)&lt;=0,0,MIN(I16*(1+Plan!$C$16/12),Plan!$D$16+IF(Plan!$E$16=$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IF(N(J16)&lt;=0,0,MIN(J16*(1+Plan!$C$17/12),Plan!$D$17+IF(Plan!$E$17=$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IF(N(K16)&lt;=0,0,MIN(K16*(1+Plan!$C$18/12),Plan!$D$18+IF(Plan!$E$18=$L17,Plan!$B$5+IF(AND(N(Plan!$B$9)&gt;0,N(B16)&lt;=0),Plan!$D$9,0)+IF(AND(N(Plan!$B$10)&gt;0,N(C16)&lt;=0),Plan!$D$10,0)+IF(AND(N(Plan!$B$11)&gt;0,N(D16)&lt;=0),Plan!$D$11,0)+IF(AND(N(Plan!$B$12)&gt;0,N(E16)&lt;=0),Plan!$D$12,0)+IF(AND(N(Plan!$B$13)&gt;0,N(F16)&lt;=0),Plan!$D$13,0)+IF(AND(N(Plan!$B$14)&gt;0,N(G16)&lt;=0),Plan!$D$14,0)+IF(AND(N(Plan!$B$15)&gt;0,N(H16)&lt;=0),Plan!$D$15,0)+IF(AND(N(Plan!$B$16)&gt;0,N(I16)&lt;=0),Plan!$D$16,0)+IF(AND(N(Plan!$B$17)&gt;0,N(J16)&lt;=0),Plan!$D$17,0)+IF(AND(N(Plan!$B$18)&gt;0,N(K16)&lt;=0),Plan!$D$18,0),0)))</f>
        <v/>
      </c>
    </row>
    <row r="18">
      <c r="A18" s="17" t="n">
        <v>14</v>
      </c>
      <c r="B18" s="18">
        <f>IF(N(B17)&lt;=0,0,MAX(0,B17*(1+Plan!$C$9/12)-(Plan!$D$9+IF(Plan!$E$9=$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C18" s="18">
        <f>IF(N(C17)&lt;=0,0,MAX(0,C17*(1+Plan!$C$10/12)-(Plan!$D$10+IF(Plan!$E$10=$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D18" s="18">
        <f>IF(N(D17)&lt;=0,0,MAX(0,D17*(1+Plan!$C$11/12)-(Plan!$D$11+IF(Plan!$E$11=$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E18" s="18">
        <f>IF(N(E17)&lt;=0,0,MAX(0,E17*(1+Plan!$C$12/12)-(Plan!$D$12+IF(Plan!$E$12=$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F18" s="18">
        <f>IF(N(F17)&lt;=0,0,MAX(0,F17*(1+Plan!$C$13/12)-(Plan!$D$13+IF(Plan!$E$13=$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G18" s="18">
        <f>IF(N(G17)&lt;=0,0,MAX(0,G17*(1+Plan!$C$14/12)-(Plan!$D$14+IF(Plan!$E$14=$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H18" s="18">
        <f>IF(N(H17)&lt;=0,0,MAX(0,H17*(1+Plan!$C$15/12)-(Plan!$D$15+IF(Plan!$E$15=$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I18" s="18">
        <f>IF(N(I17)&lt;=0,0,MAX(0,I17*(1+Plan!$C$16/12)-(Plan!$D$16+IF(Plan!$E$16=$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J18" s="18">
        <f>IF(N(J17)&lt;=0,0,MAX(0,J17*(1+Plan!$C$17/12)-(Plan!$D$17+IF(Plan!$E$17=$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K18" s="18">
        <f>IF(N(K17)&lt;=0,0,MAX(0,K17*(1+Plan!$C$18/12)-(Plan!$D$18+IF(Plan!$E$18=$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c r="L18" s="19">
        <f>MIN(IF(N(B17)&gt;0,Plan!$E$9,999),IF(N(C17)&gt;0,Plan!$E$10,999),IF(N(D17)&gt;0,Plan!$E$11,999),IF(N(E17)&gt;0,Plan!$E$12,999),IF(N(F17)&gt;0,Plan!$E$13,999),IF(N(G17)&gt;0,Plan!$E$14,999),IF(N(H17)&gt;0,Plan!$E$15,999),IF(N(I17)&gt;0,Plan!$E$16,999),IF(N(J17)&gt;0,Plan!$E$17,999),IF(N(K17)&gt;0,Plan!$E$18,999))</f>
        <v/>
      </c>
      <c r="M18" s="18">
        <f>IF(N(B17)&lt;=0,0,MIN(B17*(1+Plan!$C$9/12),Plan!$D$9+IF(Plan!$E$9=$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IF(N(C17)&lt;=0,0,MIN(C17*(1+Plan!$C$10/12),Plan!$D$10+IF(Plan!$E$10=$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IF(N(D17)&lt;=0,0,MIN(D17*(1+Plan!$C$11/12),Plan!$D$11+IF(Plan!$E$11=$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IF(N(E17)&lt;=0,0,MIN(E17*(1+Plan!$C$12/12),Plan!$D$12+IF(Plan!$E$12=$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IF(N(F17)&lt;=0,0,MIN(F17*(1+Plan!$C$13/12),Plan!$D$13+IF(Plan!$E$13=$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IF(N(G17)&lt;=0,0,MIN(G17*(1+Plan!$C$14/12),Plan!$D$14+IF(Plan!$E$14=$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IF(N(H17)&lt;=0,0,MIN(H17*(1+Plan!$C$15/12),Plan!$D$15+IF(Plan!$E$15=$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IF(N(I17)&lt;=0,0,MIN(I17*(1+Plan!$C$16/12),Plan!$D$16+IF(Plan!$E$16=$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IF(N(J17)&lt;=0,0,MIN(J17*(1+Plan!$C$17/12),Plan!$D$17+IF(Plan!$E$17=$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IF(N(K17)&lt;=0,0,MIN(K17*(1+Plan!$C$18/12),Plan!$D$18+IF(Plan!$E$18=$L18,Plan!$B$5+IF(AND(N(Plan!$B$9)&gt;0,N(B17)&lt;=0),Plan!$D$9,0)+IF(AND(N(Plan!$B$10)&gt;0,N(C17)&lt;=0),Plan!$D$10,0)+IF(AND(N(Plan!$B$11)&gt;0,N(D17)&lt;=0),Plan!$D$11,0)+IF(AND(N(Plan!$B$12)&gt;0,N(E17)&lt;=0),Plan!$D$12,0)+IF(AND(N(Plan!$B$13)&gt;0,N(F17)&lt;=0),Plan!$D$13,0)+IF(AND(N(Plan!$B$14)&gt;0,N(G17)&lt;=0),Plan!$D$14,0)+IF(AND(N(Plan!$B$15)&gt;0,N(H17)&lt;=0),Plan!$D$15,0)+IF(AND(N(Plan!$B$16)&gt;0,N(I17)&lt;=0),Plan!$D$16,0)+IF(AND(N(Plan!$B$17)&gt;0,N(J17)&lt;=0),Plan!$D$17,0)+IF(AND(N(Plan!$B$18)&gt;0,N(K17)&lt;=0),Plan!$D$18,0),0)))</f>
        <v/>
      </c>
    </row>
    <row r="19">
      <c r="A19" s="17" t="n">
        <v>15</v>
      </c>
      <c r="B19" s="18">
        <f>IF(N(B18)&lt;=0,0,MAX(0,B18*(1+Plan!$C$9/12)-(Plan!$D$9+IF(Plan!$E$9=$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C19" s="18">
        <f>IF(N(C18)&lt;=0,0,MAX(0,C18*(1+Plan!$C$10/12)-(Plan!$D$10+IF(Plan!$E$10=$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D19" s="18">
        <f>IF(N(D18)&lt;=0,0,MAX(0,D18*(1+Plan!$C$11/12)-(Plan!$D$11+IF(Plan!$E$11=$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E19" s="18">
        <f>IF(N(E18)&lt;=0,0,MAX(0,E18*(1+Plan!$C$12/12)-(Plan!$D$12+IF(Plan!$E$12=$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F19" s="18">
        <f>IF(N(F18)&lt;=0,0,MAX(0,F18*(1+Plan!$C$13/12)-(Plan!$D$13+IF(Plan!$E$13=$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G19" s="18">
        <f>IF(N(G18)&lt;=0,0,MAX(0,G18*(1+Plan!$C$14/12)-(Plan!$D$14+IF(Plan!$E$14=$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H19" s="18">
        <f>IF(N(H18)&lt;=0,0,MAX(0,H18*(1+Plan!$C$15/12)-(Plan!$D$15+IF(Plan!$E$15=$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I19" s="18">
        <f>IF(N(I18)&lt;=0,0,MAX(0,I18*(1+Plan!$C$16/12)-(Plan!$D$16+IF(Plan!$E$16=$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J19" s="18">
        <f>IF(N(J18)&lt;=0,0,MAX(0,J18*(1+Plan!$C$17/12)-(Plan!$D$17+IF(Plan!$E$17=$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K19" s="18">
        <f>IF(N(K18)&lt;=0,0,MAX(0,K18*(1+Plan!$C$18/12)-(Plan!$D$18+IF(Plan!$E$18=$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c r="L19" s="19">
        <f>MIN(IF(N(B18)&gt;0,Plan!$E$9,999),IF(N(C18)&gt;0,Plan!$E$10,999),IF(N(D18)&gt;0,Plan!$E$11,999),IF(N(E18)&gt;0,Plan!$E$12,999),IF(N(F18)&gt;0,Plan!$E$13,999),IF(N(G18)&gt;0,Plan!$E$14,999),IF(N(H18)&gt;0,Plan!$E$15,999),IF(N(I18)&gt;0,Plan!$E$16,999),IF(N(J18)&gt;0,Plan!$E$17,999),IF(N(K18)&gt;0,Plan!$E$18,999))</f>
        <v/>
      </c>
      <c r="M19" s="18">
        <f>IF(N(B18)&lt;=0,0,MIN(B18*(1+Plan!$C$9/12),Plan!$D$9+IF(Plan!$E$9=$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IF(N(C18)&lt;=0,0,MIN(C18*(1+Plan!$C$10/12),Plan!$D$10+IF(Plan!$E$10=$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IF(N(D18)&lt;=0,0,MIN(D18*(1+Plan!$C$11/12),Plan!$D$11+IF(Plan!$E$11=$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IF(N(E18)&lt;=0,0,MIN(E18*(1+Plan!$C$12/12),Plan!$D$12+IF(Plan!$E$12=$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IF(N(F18)&lt;=0,0,MIN(F18*(1+Plan!$C$13/12),Plan!$D$13+IF(Plan!$E$13=$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IF(N(G18)&lt;=0,0,MIN(G18*(1+Plan!$C$14/12),Plan!$D$14+IF(Plan!$E$14=$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IF(N(H18)&lt;=0,0,MIN(H18*(1+Plan!$C$15/12),Plan!$D$15+IF(Plan!$E$15=$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IF(N(I18)&lt;=0,0,MIN(I18*(1+Plan!$C$16/12),Plan!$D$16+IF(Plan!$E$16=$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IF(N(J18)&lt;=0,0,MIN(J18*(1+Plan!$C$17/12),Plan!$D$17+IF(Plan!$E$17=$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IF(N(K18)&lt;=0,0,MIN(K18*(1+Plan!$C$18/12),Plan!$D$18+IF(Plan!$E$18=$L19,Plan!$B$5+IF(AND(N(Plan!$B$9)&gt;0,N(B18)&lt;=0),Plan!$D$9,0)+IF(AND(N(Plan!$B$10)&gt;0,N(C18)&lt;=0),Plan!$D$10,0)+IF(AND(N(Plan!$B$11)&gt;0,N(D18)&lt;=0),Plan!$D$11,0)+IF(AND(N(Plan!$B$12)&gt;0,N(E18)&lt;=0),Plan!$D$12,0)+IF(AND(N(Plan!$B$13)&gt;0,N(F18)&lt;=0),Plan!$D$13,0)+IF(AND(N(Plan!$B$14)&gt;0,N(G18)&lt;=0),Plan!$D$14,0)+IF(AND(N(Plan!$B$15)&gt;0,N(H18)&lt;=0),Plan!$D$15,0)+IF(AND(N(Plan!$B$16)&gt;0,N(I18)&lt;=0),Plan!$D$16,0)+IF(AND(N(Plan!$B$17)&gt;0,N(J18)&lt;=0),Plan!$D$17,0)+IF(AND(N(Plan!$B$18)&gt;0,N(K18)&lt;=0),Plan!$D$18,0),0)))</f>
        <v/>
      </c>
    </row>
    <row r="20">
      <c r="A20" s="17" t="n">
        <v>16</v>
      </c>
      <c r="B20" s="18">
        <f>IF(N(B19)&lt;=0,0,MAX(0,B19*(1+Plan!$C$9/12)-(Plan!$D$9+IF(Plan!$E$9=$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C20" s="18">
        <f>IF(N(C19)&lt;=0,0,MAX(0,C19*(1+Plan!$C$10/12)-(Plan!$D$10+IF(Plan!$E$10=$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D20" s="18">
        <f>IF(N(D19)&lt;=0,0,MAX(0,D19*(1+Plan!$C$11/12)-(Plan!$D$11+IF(Plan!$E$11=$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E20" s="18">
        <f>IF(N(E19)&lt;=0,0,MAX(0,E19*(1+Plan!$C$12/12)-(Plan!$D$12+IF(Plan!$E$12=$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F20" s="18">
        <f>IF(N(F19)&lt;=0,0,MAX(0,F19*(1+Plan!$C$13/12)-(Plan!$D$13+IF(Plan!$E$13=$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G20" s="18">
        <f>IF(N(G19)&lt;=0,0,MAX(0,G19*(1+Plan!$C$14/12)-(Plan!$D$14+IF(Plan!$E$14=$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H20" s="18">
        <f>IF(N(H19)&lt;=0,0,MAX(0,H19*(1+Plan!$C$15/12)-(Plan!$D$15+IF(Plan!$E$15=$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I20" s="18">
        <f>IF(N(I19)&lt;=0,0,MAX(0,I19*(1+Plan!$C$16/12)-(Plan!$D$16+IF(Plan!$E$16=$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J20" s="18">
        <f>IF(N(J19)&lt;=0,0,MAX(0,J19*(1+Plan!$C$17/12)-(Plan!$D$17+IF(Plan!$E$17=$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K20" s="18">
        <f>IF(N(K19)&lt;=0,0,MAX(0,K19*(1+Plan!$C$18/12)-(Plan!$D$18+IF(Plan!$E$18=$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c r="L20" s="19">
        <f>MIN(IF(N(B19)&gt;0,Plan!$E$9,999),IF(N(C19)&gt;0,Plan!$E$10,999),IF(N(D19)&gt;0,Plan!$E$11,999),IF(N(E19)&gt;0,Plan!$E$12,999),IF(N(F19)&gt;0,Plan!$E$13,999),IF(N(G19)&gt;0,Plan!$E$14,999),IF(N(H19)&gt;0,Plan!$E$15,999),IF(N(I19)&gt;0,Plan!$E$16,999),IF(N(J19)&gt;0,Plan!$E$17,999),IF(N(K19)&gt;0,Plan!$E$18,999))</f>
        <v/>
      </c>
      <c r="M20" s="18">
        <f>IF(N(B19)&lt;=0,0,MIN(B19*(1+Plan!$C$9/12),Plan!$D$9+IF(Plan!$E$9=$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IF(N(C19)&lt;=0,0,MIN(C19*(1+Plan!$C$10/12),Plan!$D$10+IF(Plan!$E$10=$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IF(N(D19)&lt;=0,0,MIN(D19*(1+Plan!$C$11/12),Plan!$D$11+IF(Plan!$E$11=$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IF(N(E19)&lt;=0,0,MIN(E19*(1+Plan!$C$12/12),Plan!$D$12+IF(Plan!$E$12=$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IF(N(F19)&lt;=0,0,MIN(F19*(1+Plan!$C$13/12),Plan!$D$13+IF(Plan!$E$13=$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IF(N(G19)&lt;=0,0,MIN(G19*(1+Plan!$C$14/12),Plan!$D$14+IF(Plan!$E$14=$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IF(N(H19)&lt;=0,0,MIN(H19*(1+Plan!$C$15/12),Plan!$D$15+IF(Plan!$E$15=$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IF(N(I19)&lt;=0,0,MIN(I19*(1+Plan!$C$16/12),Plan!$D$16+IF(Plan!$E$16=$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IF(N(J19)&lt;=0,0,MIN(J19*(1+Plan!$C$17/12),Plan!$D$17+IF(Plan!$E$17=$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IF(N(K19)&lt;=0,0,MIN(K19*(1+Plan!$C$18/12),Plan!$D$18+IF(Plan!$E$18=$L20,Plan!$B$5+IF(AND(N(Plan!$B$9)&gt;0,N(B19)&lt;=0),Plan!$D$9,0)+IF(AND(N(Plan!$B$10)&gt;0,N(C19)&lt;=0),Plan!$D$10,0)+IF(AND(N(Plan!$B$11)&gt;0,N(D19)&lt;=0),Plan!$D$11,0)+IF(AND(N(Plan!$B$12)&gt;0,N(E19)&lt;=0),Plan!$D$12,0)+IF(AND(N(Plan!$B$13)&gt;0,N(F19)&lt;=0),Plan!$D$13,0)+IF(AND(N(Plan!$B$14)&gt;0,N(G19)&lt;=0),Plan!$D$14,0)+IF(AND(N(Plan!$B$15)&gt;0,N(H19)&lt;=0),Plan!$D$15,0)+IF(AND(N(Plan!$B$16)&gt;0,N(I19)&lt;=0),Plan!$D$16,0)+IF(AND(N(Plan!$B$17)&gt;0,N(J19)&lt;=0),Plan!$D$17,0)+IF(AND(N(Plan!$B$18)&gt;0,N(K19)&lt;=0),Plan!$D$18,0),0)))</f>
        <v/>
      </c>
    </row>
    <row r="21">
      <c r="A21" s="17" t="n">
        <v>17</v>
      </c>
      <c r="B21" s="18">
        <f>IF(N(B20)&lt;=0,0,MAX(0,B20*(1+Plan!$C$9/12)-(Plan!$D$9+IF(Plan!$E$9=$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C21" s="18">
        <f>IF(N(C20)&lt;=0,0,MAX(0,C20*(1+Plan!$C$10/12)-(Plan!$D$10+IF(Plan!$E$10=$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D21" s="18">
        <f>IF(N(D20)&lt;=0,0,MAX(0,D20*(1+Plan!$C$11/12)-(Plan!$D$11+IF(Plan!$E$11=$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E21" s="18">
        <f>IF(N(E20)&lt;=0,0,MAX(0,E20*(1+Plan!$C$12/12)-(Plan!$D$12+IF(Plan!$E$12=$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F21" s="18">
        <f>IF(N(F20)&lt;=0,0,MAX(0,F20*(1+Plan!$C$13/12)-(Plan!$D$13+IF(Plan!$E$13=$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G21" s="18">
        <f>IF(N(G20)&lt;=0,0,MAX(0,G20*(1+Plan!$C$14/12)-(Plan!$D$14+IF(Plan!$E$14=$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H21" s="18">
        <f>IF(N(H20)&lt;=0,0,MAX(0,H20*(1+Plan!$C$15/12)-(Plan!$D$15+IF(Plan!$E$15=$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I21" s="18">
        <f>IF(N(I20)&lt;=0,0,MAX(0,I20*(1+Plan!$C$16/12)-(Plan!$D$16+IF(Plan!$E$16=$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J21" s="18">
        <f>IF(N(J20)&lt;=0,0,MAX(0,J20*(1+Plan!$C$17/12)-(Plan!$D$17+IF(Plan!$E$17=$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K21" s="18">
        <f>IF(N(K20)&lt;=0,0,MAX(0,K20*(1+Plan!$C$18/12)-(Plan!$D$18+IF(Plan!$E$18=$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c r="L21" s="19">
        <f>MIN(IF(N(B20)&gt;0,Plan!$E$9,999),IF(N(C20)&gt;0,Plan!$E$10,999),IF(N(D20)&gt;0,Plan!$E$11,999),IF(N(E20)&gt;0,Plan!$E$12,999),IF(N(F20)&gt;0,Plan!$E$13,999),IF(N(G20)&gt;0,Plan!$E$14,999),IF(N(H20)&gt;0,Plan!$E$15,999),IF(N(I20)&gt;0,Plan!$E$16,999),IF(N(J20)&gt;0,Plan!$E$17,999),IF(N(K20)&gt;0,Plan!$E$18,999))</f>
        <v/>
      </c>
      <c r="M21" s="18">
        <f>IF(N(B20)&lt;=0,0,MIN(B20*(1+Plan!$C$9/12),Plan!$D$9+IF(Plan!$E$9=$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IF(N(C20)&lt;=0,0,MIN(C20*(1+Plan!$C$10/12),Plan!$D$10+IF(Plan!$E$10=$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IF(N(D20)&lt;=0,0,MIN(D20*(1+Plan!$C$11/12),Plan!$D$11+IF(Plan!$E$11=$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IF(N(E20)&lt;=0,0,MIN(E20*(1+Plan!$C$12/12),Plan!$D$12+IF(Plan!$E$12=$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IF(N(F20)&lt;=0,0,MIN(F20*(1+Plan!$C$13/12),Plan!$D$13+IF(Plan!$E$13=$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IF(N(G20)&lt;=0,0,MIN(G20*(1+Plan!$C$14/12),Plan!$D$14+IF(Plan!$E$14=$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IF(N(H20)&lt;=0,0,MIN(H20*(1+Plan!$C$15/12),Plan!$D$15+IF(Plan!$E$15=$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IF(N(I20)&lt;=0,0,MIN(I20*(1+Plan!$C$16/12),Plan!$D$16+IF(Plan!$E$16=$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IF(N(J20)&lt;=0,0,MIN(J20*(1+Plan!$C$17/12),Plan!$D$17+IF(Plan!$E$17=$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IF(N(K20)&lt;=0,0,MIN(K20*(1+Plan!$C$18/12),Plan!$D$18+IF(Plan!$E$18=$L21,Plan!$B$5+IF(AND(N(Plan!$B$9)&gt;0,N(B20)&lt;=0),Plan!$D$9,0)+IF(AND(N(Plan!$B$10)&gt;0,N(C20)&lt;=0),Plan!$D$10,0)+IF(AND(N(Plan!$B$11)&gt;0,N(D20)&lt;=0),Plan!$D$11,0)+IF(AND(N(Plan!$B$12)&gt;0,N(E20)&lt;=0),Plan!$D$12,0)+IF(AND(N(Plan!$B$13)&gt;0,N(F20)&lt;=0),Plan!$D$13,0)+IF(AND(N(Plan!$B$14)&gt;0,N(G20)&lt;=0),Plan!$D$14,0)+IF(AND(N(Plan!$B$15)&gt;0,N(H20)&lt;=0),Plan!$D$15,0)+IF(AND(N(Plan!$B$16)&gt;0,N(I20)&lt;=0),Plan!$D$16,0)+IF(AND(N(Plan!$B$17)&gt;0,N(J20)&lt;=0),Plan!$D$17,0)+IF(AND(N(Plan!$B$18)&gt;0,N(K20)&lt;=0),Plan!$D$18,0),0)))</f>
        <v/>
      </c>
    </row>
    <row r="22">
      <c r="A22" s="17" t="n">
        <v>18</v>
      </c>
      <c r="B22" s="18">
        <f>IF(N(B21)&lt;=0,0,MAX(0,B21*(1+Plan!$C$9/12)-(Plan!$D$9+IF(Plan!$E$9=$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C22" s="18">
        <f>IF(N(C21)&lt;=0,0,MAX(0,C21*(1+Plan!$C$10/12)-(Plan!$D$10+IF(Plan!$E$10=$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D22" s="18">
        <f>IF(N(D21)&lt;=0,0,MAX(0,D21*(1+Plan!$C$11/12)-(Plan!$D$11+IF(Plan!$E$11=$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E22" s="18">
        <f>IF(N(E21)&lt;=0,0,MAX(0,E21*(1+Plan!$C$12/12)-(Plan!$D$12+IF(Plan!$E$12=$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F22" s="18">
        <f>IF(N(F21)&lt;=0,0,MAX(0,F21*(1+Plan!$C$13/12)-(Plan!$D$13+IF(Plan!$E$13=$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G22" s="18">
        <f>IF(N(G21)&lt;=0,0,MAX(0,G21*(1+Plan!$C$14/12)-(Plan!$D$14+IF(Plan!$E$14=$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H22" s="18">
        <f>IF(N(H21)&lt;=0,0,MAX(0,H21*(1+Plan!$C$15/12)-(Plan!$D$15+IF(Plan!$E$15=$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I22" s="18">
        <f>IF(N(I21)&lt;=0,0,MAX(0,I21*(1+Plan!$C$16/12)-(Plan!$D$16+IF(Plan!$E$16=$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J22" s="18">
        <f>IF(N(J21)&lt;=0,0,MAX(0,J21*(1+Plan!$C$17/12)-(Plan!$D$17+IF(Plan!$E$17=$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K22" s="18">
        <f>IF(N(K21)&lt;=0,0,MAX(0,K21*(1+Plan!$C$18/12)-(Plan!$D$18+IF(Plan!$E$18=$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c r="L22" s="19">
        <f>MIN(IF(N(B21)&gt;0,Plan!$E$9,999),IF(N(C21)&gt;0,Plan!$E$10,999),IF(N(D21)&gt;0,Plan!$E$11,999),IF(N(E21)&gt;0,Plan!$E$12,999),IF(N(F21)&gt;0,Plan!$E$13,999),IF(N(G21)&gt;0,Plan!$E$14,999),IF(N(H21)&gt;0,Plan!$E$15,999),IF(N(I21)&gt;0,Plan!$E$16,999),IF(N(J21)&gt;0,Plan!$E$17,999),IF(N(K21)&gt;0,Plan!$E$18,999))</f>
        <v/>
      </c>
      <c r="M22" s="18">
        <f>IF(N(B21)&lt;=0,0,MIN(B21*(1+Plan!$C$9/12),Plan!$D$9+IF(Plan!$E$9=$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IF(N(C21)&lt;=0,0,MIN(C21*(1+Plan!$C$10/12),Plan!$D$10+IF(Plan!$E$10=$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IF(N(D21)&lt;=0,0,MIN(D21*(1+Plan!$C$11/12),Plan!$D$11+IF(Plan!$E$11=$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IF(N(E21)&lt;=0,0,MIN(E21*(1+Plan!$C$12/12),Plan!$D$12+IF(Plan!$E$12=$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IF(N(F21)&lt;=0,0,MIN(F21*(1+Plan!$C$13/12),Plan!$D$13+IF(Plan!$E$13=$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IF(N(G21)&lt;=0,0,MIN(G21*(1+Plan!$C$14/12),Plan!$D$14+IF(Plan!$E$14=$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IF(N(H21)&lt;=0,0,MIN(H21*(1+Plan!$C$15/12),Plan!$D$15+IF(Plan!$E$15=$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IF(N(I21)&lt;=0,0,MIN(I21*(1+Plan!$C$16/12),Plan!$D$16+IF(Plan!$E$16=$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IF(N(J21)&lt;=0,0,MIN(J21*(1+Plan!$C$17/12),Plan!$D$17+IF(Plan!$E$17=$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IF(N(K21)&lt;=0,0,MIN(K21*(1+Plan!$C$18/12),Plan!$D$18+IF(Plan!$E$18=$L22,Plan!$B$5+IF(AND(N(Plan!$B$9)&gt;0,N(B21)&lt;=0),Plan!$D$9,0)+IF(AND(N(Plan!$B$10)&gt;0,N(C21)&lt;=0),Plan!$D$10,0)+IF(AND(N(Plan!$B$11)&gt;0,N(D21)&lt;=0),Plan!$D$11,0)+IF(AND(N(Plan!$B$12)&gt;0,N(E21)&lt;=0),Plan!$D$12,0)+IF(AND(N(Plan!$B$13)&gt;0,N(F21)&lt;=0),Plan!$D$13,0)+IF(AND(N(Plan!$B$14)&gt;0,N(G21)&lt;=0),Plan!$D$14,0)+IF(AND(N(Plan!$B$15)&gt;0,N(H21)&lt;=0),Plan!$D$15,0)+IF(AND(N(Plan!$B$16)&gt;0,N(I21)&lt;=0),Plan!$D$16,0)+IF(AND(N(Plan!$B$17)&gt;0,N(J21)&lt;=0),Plan!$D$17,0)+IF(AND(N(Plan!$B$18)&gt;0,N(K21)&lt;=0),Plan!$D$18,0),0)))</f>
        <v/>
      </c>
    </row>
    <row r="23">
      <c r="A23" s="17" t="n">
        <v>19</v>
      </c>
      <c r="B23" s="18">
        <f>IF(N(B22)&lt;=0,0,MAX(0,B22*(1+Plan!$C$9/12)-(Plan!$D$9+IF(Plan!$E$9=$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C23" s="18">
        <f>IF(N(C22)&lt;=0,0,MAX(0,C22*(1+Plan!$C$10/12)-(Plan!$D$10+IF(Plan!$E$10=$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D23" s="18">
        <f>IF(N(D22)&lt;=0,0,MAX(0,D22*(1+Plan!$C$11/12)-(Plan!$D$11+IF(Plan!$E$11=$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E23" s="18">
        <f>IF(N(E22)&lt;=0,0,MAX(0,E22*(1+Plan!$C$12/12)-(Plan!$D$12+IF(Plan!$E$12=$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F23" s="18">
        <f>IF(N(F22)&lt;=0,0,MAX(0,F22*(1+Plan!$C$13/12)-(Plan!$D$13+IF(Plan!$E$13=$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G23" s="18">
        <f>IF(N(G22)&lt;=0,0,MAX(0,G22*(1+Plan!$C$14/12)-(Plan!$D$14+IF(Plan!$E$14=$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H23" s="18">
        <f>IF(N(H22)&lt;=0,0,MAX(0,H22*(1+Plan!$C$15/12)-(Plan!$D$15+IF(Plan!$E$15=$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I23" s="18">
        <f>IF(N(I22)&lt;=0,0,MAX(0,I22*(1+Plan!$C$16/12)-(Plan!$D$16+IF(Plan!$E$16=$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J23" s="18">
        <f>IF(N(J22)&lt;=0,0,MAX(0,J22*(1+Plan!$C$17/12)-(Plan!$D$17+IF(Plan!$E$17=$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K23" s="18">
        <f>IF(N(K22)&lt;=0,0,MAX(0,K22*(1+Plan!$C$18/12)-(Plan!$D$18+IF(Plan!$E$18=$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c r="L23" s="19">
        <f>MIN(IF(N(B22)&gt;0,Plan!$E$9,999),IF(N(C22)&gt;0,Plan!$E$10,999),IF(N(D22)&gt;0,Plan!$E$11,999),IF(N(E22)&gt;0,Plan!$E$12,999),IF(N(F22)&gt;0,Plan!$E$13,999),IF(N(G22)&gt;0,Plan!$E$14,999),IF(N(H22)&gt;0,Plan!$E$15,999),IF(N(I22)&gt;0,Plan!$E$16,999),IF(N(J22)&gt;0,Plan!$E$17,999),IF(N(K22)&gt;0,Plan!$E$18,999))</f>
        <v/>
      </c>
      <c r="M23" s="18">
        <f>IF(N(B22)&lt;=0,0,MIN(B22*(1+Plan!$C$9/12),Plan!$D$9+IF(Plan!$E$9=$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IF(N(C22)&lt;=0,0,MIN(C22*(1+Plan!$C$10/12),Plan!$D$10+IF(Plan!$E$10=$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IF(N(D22)&lt;=0,0,MIN(D22*(1+Plan!$C$11/12),Plan!$D$11+IF(Plan!$E$11=$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IF(N(E22)&lt;=0,0,MIN(E22*(1+Plan!$C$12/12),Plan!$D$12+IF(Plan!$E$12=$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IF(N(F22)&lt;=0,0,MIN(F22*(1+Plan!$C$13/12),Plan!$D$13+IF(Plan!$E$13=$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IF(N(G22)&lt;=0,0,MIN(G22*(1+Plan!$C$14/12),Plan!$D$14+IF(Plan!$E$14=$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IF(N(H22)&lt;=0,0,MIN(H22*(1+Plan!$C$15/12),Plan!$D$15+IF(Plan!$E$15=$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IF(N(I22)&lt;=0,0,MIN(I22*(1+Plan!$C$16/12),Plan!$D$16+IF(Plan!$E$16=$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IF(N(J22)&lt;=0,0,MIN(J22*(1+Plan!$C$17/12),Plan!$D$17+IF(Plan!$E$17=$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IF(N(K22)&lt;=0,0,MIN(K22*(1+Plan!$C$18/12),Plan!$D$18+IF(Plan!$E$18=$L23,Plan!$B$5+IF(AND(N(Plan!$B$9)&gt;0,N(B22)&lt;=0),Plan!$D$9,0)+IF(AND(N(Plan!$B$10)&gt;0,N(C22)&lt;=0),Plan!$D$10,0)+IF(AND(N(Plan!$B$11)&gt;0,N(D22)&lt;=0),Plan!$D$11,0)+IF(AND(N(Plan!$B$12)&gt;0,N(E22)&lt;=0),Plan!$D$12,0)+IF(AND(N(Plan!$B$13)&gt;0,N(F22)&lt;=0),Plan!$D$13,0)+IF(AND(N(Plan!$B$14)&gt;0,N(G22)&lt;=0),Plan!$D$14,0)+IF(AND(N(Plan!$B$15)&gt;0,N(H22)&lt;=0),Plan!$D$15,0)+IF(AND(N(Plan!$B$16)&gt;0,N(I22)&lt;=0),Plan!$D$16,0)+IF(AND(N(Plan!$B$17)&gt;0,N(J22)&lt;=0),Plan!$D$17,0)+IF(AND(N(Plan!$B$18)&gt;0,N(K22)&lt;=0),Plan!$D$18,0),0)))</f>
        <v/>
      </c>
    </row>
    <row r="24">
      <c r="A24" s="17" t="n">
        <v>20</v>
      </c>
      <c r="B24" s="18">
        <f>IF(N(B23)&lt;=0,0,MAX(0,B23*(1+Plan!$C$9/12)-(Plan!$D$9+IF(Plan!$E$9=$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C24" s="18">
        <f>IF(N(C23)&lt;=0,0,MAX(0,C23*(1+Plan!$C$10/12)-(Plan!$D$10+IF(Plan!$E$10=$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D24" s="18">
        <f>IF(N(D23)&lt;=0,0,MAX(0,D23*(1+Plan!$C$11/12)-(Plan!$D$11+IF(Plan!$E$11=$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E24" s="18">
        <f>IF(N(E23)&lt;=0,0,MAX(0,E23*(1+Plan!$C$12/12)-(Plan!$D$12+IF(Plan!$E$12=$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F24" s="18">
        <f>IF(N(F23)&lt;=0,0,MAX(0,F23*(1+Plan!$C$13/12)-(Plan!$D$13+IF(Plan!$E$13=$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G24" s="18">
        <f>IF(N(G23)&lt;=0,0,MAX(0,G23*(1+Plan!$C$14/12)-(Plan!$D$14+IF(Plan!$E$14=$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H24" s="18">
        <f>IF(N(H23)&lt;=0,0,MAX(0,H23*(1+Plan!$C$15/12)-(Plan!$D$15+IF(Plan!$E$15=$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I24" s="18">
        <f>IF(N(I23)&lt;=0,0,MAX(0,I23*(1+Plan!$C$16/12)-(Plan!$D$16+IF(Plan!$E$16=$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J24" s="18">
        <f>IF(N(J23)&lt;=0,0,MAX(0,J23*(1+Plan!$C$17/12)-(Plan!$D$17+IF(Plan!$E$17=$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K24" s="18">
        <f>IF(N(K23)&lt;=0,0,MAX(0,K23*(1+Plan!$C$18/12)-(Plan!$D$18+IF(Plan!$E$18=$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c r="L24" s="19">
        <f>MIN(IF(N(B23)&gt;0,Plan!$E$9,999),IF(N(C23)&gt;0,Plan!$E$10,999),IF(N(D23)&gt;0,Plan!$E$11,999),IF(N(E23)&gt;0,Plan!$E$12,999),IF(N(F23)&gt;0,Plan!$E$13,999),IF(N(G23)&gt;0,Plan!$E$14,999),IF(N(H23)&gt;0,Plan!$E$15,999),IF(N(I23)&gt;0,Plan!$E$16,999),IF(N(J23)&gt;0,Plan!$E$17,999),IF(N(K23)&gt;0,Plan!$E$18,999))</f>
        <v/>
      </c>
      <c r="M24" s="18">
        <f>IF(N(B23)&lt;=0,0,MIN(B23*(1+Plan!$C$9/12),Plan!$D$9+IF(Plan!$E$9=$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IF(N(C23)&lt;=0,0,MIN(C23*(1+Plan!$C$10/12),Plan!$D$10+IF(Plan!$E$10=$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IF(N(D23)&lt;=0,0,MIN(D23*(1+Plan!$C$11/12),Plan!$D$11+IF(Plan!$E$11=$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IF(N(E23)&lt;=0,0,MIN(E23*(1+Plan!$C$12/12),Plan!$D$12+IF(Plan!$E$12=$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IF(N(F23)&lt;=0,0,MIN(F23*(1+Plan!$C$13/12),Plan!$D$13+IF(Plan!$E$13=$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IF(N(G23)&lt;=0,0,MIN(G23*(1+Plan!$C$14/12),Plan!$D$14+IF(Plan!$E$14=$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IF(N(H23)&lt;=0,0,MIN(H23*(1+Plan!$C$15/12),Plan!$D$15+IF(Plan!$E$15=$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IF(N(I23)&lt;=0,0,MIN(I23*(1+Plan!$C$16/12),Plan!$D$16+IF(Plan!$E$16=$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IF(N(J23)&lt;=0,0,MIN(J23*(1+Plan!$C$17/12),Plan!$D$17+IF(Plan!$E$17=$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IF(N(K23)&lt;=0,0,MIN(K23*(1+Plan!$C$18/12),Plan!$D$18+IF(Plan!$E$18=$L24,Plan!$B$5+IF(AND(N(Plan!$B$9)&gt;0,N(B23)&lt;=0),Plan!$D$9,0)+IF(AND(N(Plan!$B$10)&gt;0,N(C23)&lt;=0),Plan!$D$10,0)+IF(AND(N(Plan!$B$11)&gt;0,N(D23)&lt;=0),Plan!$D$11,0)+IF(AND(N(Plan!$B$12)&gt;0,N(E23)&lt;=0),Plan!$D$12,0)+IF(AND(N(Plan!$B$13)&gt;0,N(F23)&lt;=0),Plan!$D$13,0)+IF(AND(N(Plan!$B$14)&gt;0,N(G23)&lt;=0),Plan!$D$14,0)+IF(AND(N(Plan!$B$15)&gt;0,N(H23)&lt;=0),Plan!$D$15,0)+IF(AND(N(Plan!$B$16)&gt;0,N(I23)&lt;=0),Plan!$D$16,0)+IF(AND(N(Plan!$B$17)&gt;0,N(J23)&lt;=0),Plan!$D$17,0)+IF(AND(N(Plan!$B$18)&gt;0,N(K23)&lt;=0),Plan!$D$18,0),0)))</f>
        <v/>
      </c>
    </row>
    <row r="25">
      <c r="A25" s="17" t="n">
        <v>21</v>
      </c>
      <c r="B25" s="18">
        <f>IF(N(B24)&lt;=0,0,MAX(0,B24*(1+Plan!$C$9/12)-(Plan!$D$9+IF(Plan!$E$9=$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C25" s="18">
        <f>IF(N(C24)&lt;=0,0,MAX(0,C24*(1+Plan!$C$10/12)-(Plan!$D$10+IF(Plan!$E$10=$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D25" s="18">
        <f>IF(N(D24)&lt;=0,0,MAX(0,D24*(1+Plan!$C$11/12)-(Plan!$D$11+IF(Plan!$E$11=$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E25" s="18">
        <f>IF(N(E24)&lt;=0,0,MAX(0,E24*(1+Plan!$C$12/12)-(Plan!$D$12+IF(Plan!$E$12=$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F25" s="18">
        <f>IF(N(F24)&lt;=0,0,MAX(0,F24*(1+Plan!$C$13/12)-(Plan!$D$13+IF(Plan!$E$13=$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G25" s="18">
        <f>IF(N(G24)&lt;=0,0,MAX(0,G24*(1+Plan!$C$14/12)-(Plan!$D$14+IF(Plan!$E$14=$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H25" s="18">
        <f>IF(N(H24)&lt;=0,0,MAX(0,H24*(1+Plan!$C$15/12)-(Plan!$D$15+IF(Plan!$E$15=$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I25" s="18">
        <f>IF(N(I24)&lt;=0,0,MAX(0,I24*(1+Plan!$C$16/12)-(Plan!$D$16+IF(Plan!$E$16=$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J25" s="18">
        <f>IF(N(J24)&lt;=0,0,MAX(0,J24*(1+Plan!$C$17/12)-(Plan!$D$17+IF(Plan!$E$17=$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K25" s="18">
        <f>IF(N(K24)&lt;=0,0,MAX(0,K24*(1+Plan!$C$18/12)-(Plan!$D$18+IF(Plan!$E$18=$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c r="L25" s="19">
        <f>MIN(IF(N(B24)&gt;0,Plan!$E$9,999),IF(N(C24)&gt;0,Plan!$E$10,999),IF(N(D24)&gt;0,Plan!$E$11,999),IF(N(E24)&gt;0,Plan!$E$12,999),IF(N(F24)&gt;0,Plan!$E$13,999),IF(N(G24)&gt;0,Plan!$E$14,999),IF(N(H24)&gt;0,Plan!$E$15,999),IF(N(I24)&gt;0,Plan!$E$16,999),IF(N(J24)&gt;0,Plan!$E$17,999),IF(N(K24)&gt;0,Plan!$E$18,999))</f>
        <v/>
      </c>
      <c r="M25" s="18">
        <f>IF(N(B24)&lt;=0,0,MIN(B24*(1+Plan!$C$9/12),Plan!$D$9+IF(Plan!$E$9=$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IF(N(C24)&lt;=0,0,MIN(C24*(1+Plan!$C$10/12),Plan!$D$10+IF(Plan!$E$10=$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IF(N(D24)&lt;=0,0,MIN(D24*(1+Plan!$C$11/12),Plan!$D$11+IF(Plan!$E$11=$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IF(N(E24)&lt;=0,0,MIN(E24*(1+Plan!$C$12/12),Plan!$D$12+IF(Plan!$E$12=$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IF(N(F24)&lt;=0,0,MIN(F24*(1+Plan!$C$13/12),Plan!$D$13+IF(Plan!$E$13=$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IF(N(G24)&lt;=0,0,MIN(G24*(1+Plan!$C$14/12),Plan!$D$14+IF(Plan!$E$14=$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IF(N(H24)&lt;=0,0,MIN(H24*(1+Plan!$C$15/12),Plan!$D$15+IF(Plan!$E$15=$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IF(N(I24)&lt;=0,0,MIN(I24*(1+Plan!$C$16/12),Plan!$D$16+IF(Plan!$E$16=$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IF(N(J24)&lt;=0,0,MIN(J24*(1+Plan!$C$17/12),Plan!$D$17+IF(Plan!$E$17=$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IF(N(K24)&lt;=0,0,MIN(K24*(1+Plan!$C$18/12),Plan!$D$18+IF(Plan!$E$18=$L25,Plan!$B$5+IF(AND(N(Plan!$B$9)&gt;0,N(B24)&lt;=0),Plan!$D$9,0)+IF(AND(N(Plan!$B$10)&gt;0,N(C24)&lt;=0),Plan!$D$10,0)+IF(AND(N(Plan!$B$11)&gt;0,N(D24)&lt;=0),Plan!$D$11,0)+IF(AND(N(Plan!$B$12)&gt;0,N(E24)&lt;=0),Plan!$D$12,0)+IF(AND(N(Plan!$B$13)&gt;0,N(F24)&lt;=0),Plan!$D$13,0)+IF(AND(N(Plan!$B$14)&gt;0,N(G24)&lt;=0),Plan!$D$14,0)+IF(AND(N(Plan!$B$15)&gt;0,N(H24)&lt;=0),Plan!$D$15,0)+IF(AND(N(Plan!$B$16)&gt;0,N(I24)&lt;=0),Plan!$D$16,0)+IF(AND(N(Plan!$B$17)&gt;0,N(J24)&lt;=0),Plan!$D$17,0)+IF(AND(N(Plan!$B$18)&gt;0,N(K24)&lt;=0),Plan!$D$18,0),0)))</f>
        <v/>
      </c>
    </row>
    <row r="26">
      <c r="A26" s="17" t="n">
        <v>22</v>
      </c>
      <c r="B26" s="18">
        <f>IF(N(B25)&lt;=0,0,MAX(0,B25*(1+Plan!$C$9/12)-(Plan!$D$9+IF(Plan!$E$9=$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C26" s="18">
        <f>IF(N(C25)&lt;=0,0,MAX(0,C25*(1+Plan!$C$10/12)-(Plan!$D$10+IF(Plan!$E$10=$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D26" s="18">
        <f>IF(N(D25)&lt;=0,0,MAX(0,D25*(1+Plan!$C$11/12)-(Plan!$D$11+IF(Plan!$E$11=$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E26" s="18">
        <f>IF(N(E25)&lt;=0,0,MAX(0,E25*(1+Plan!$C$12/12)-(Plan!$D$12+IF(Plan!$E$12=$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F26" s="18">
        <f>IF(N(F25)&lt;=0,0,MAX(0,F25*(1+Plan!$C$13/12)-(Plan!$D$13+IF(Plan!$E$13=$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G26" s="18">
        <f>IF(N(G25)&lt;=0,0,MAX(0,G25*(1+Plan!$C$14/12)-(Plan!$D$14+IF(Plan!$E$14=$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H26" s="18">
        <f>IF(N(H25)&lt;=0,0,MAX(0,H25*(1+Plan!$C$15/12)-(Plan!$D$15+IF(Plan!$E$15=$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I26" s="18">
        <f>IF(N(I25)&lt;=0,0,MAX(0,I25*(1+Plan!$C$16/12)-(Plan!$D$16+IF(Plan!$E$16=$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J26" s="18">
        <f>IF(N(J25)&lt;=0,0,MAX(0,J25*(1+Plan!$C$17/12)-(Plan!$D$17+IF(Plan!$E$17=$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K26" s="18">
        <f>IF(N(K25)&lt;=0,0,MAX(0,K25*(1+Plan!$C$18/12)-(Plan!$D$18+IF(Plan!$E$18=$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c r="L26" s="19">
        <f>MIN(IF(N(B25)&gt;0,Plan!$E$9,999),IF(N(C25)&gt;0,Plan!$E$10,999),IF(N(D25)&gt;0,Plan!$E$11,999),IF(N(E25)&gt;0,Plan!$E$12,999),IF(N(F25)&gt;0,Plan!$E$13,999),IF(N(G25)&gt;0,Plan!$E$14,999),IF(N(H25)&gt;0,Plan!$E$15,999),IF(N(I25)&gt;0,Plan!$E$16,999),IF(N(J25)&gt;0,Plan!$E$17,999),IF(N(K25)&gt;0,Plan!$E$18,999))</f>
        <v/>
      </c>
      <c r="M26" s="18">
        <f>IF(N(B25)&lt;=0,0,MIN(B25*(1+Plan!$C$9/12),Plan!$D$9+IF(Plan!$E$9=$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IF(N(C25)&lt;=0,0,MIN(C25*(1+Plan!$C$10/12),Plan!$D$10+IF(Plan!$E$10=$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IF(N(D25)&lt;=0,0,MIN(D25*(1+Plan!$C$11/12),Plan!$D$11+IF(Plan!$E$11=$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IF(N(E25)&lt;=0,0,MIN(E25*(1+Plan!$C$12/12),Plan!$D$12+IF(Plan!$E$12=$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IF(N(F25)&lt;=0,0,MIN(F25*(1+Plan!$C$13/12),Plan!$D$13+IF(Plan!$E$13=$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IF(N(G25)&lt;=0,0,MIN(G25*(1+Plan!$C$14/12),Plan!$D$14+IF(Plan!$E$14=$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IF(N(H25)&lt;=0,0,MIN(H25*(1+Plan!$C$15/12),Plan!$D$15+IF(Plan!$E$15=$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IF(N(I25)&lt;=0,0,MIN(I25*(1+Plan!$C$16/12),Plan!$D$16+IF(Plan!$E$16=$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IF(N(J25)&lt;=0,0,MIN(J25*(1+Plan!$C$17/12),Plan!$D$17+IF(Plan!$E$17=$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IF(N(K25)&lt;=0,0,MIN(K25*(1+Plan!$C$18/12),Plan!$D$18+IF(Plan!$E$18=$L26,Plan!$B$5+IF(AND(N(Plan!$B$9)&gt;0,N(B25)&lt;=0),Plan!$D$9,0)+IF(AND(N(Plan!$B$10)&gt;0,N(C25)&lt;=0),Plan!$D$10,0)+IF(AND(N(Plan!$B$11)&gt;0,N(D25)&lt;=0),Plan!$D$11,0)+IF(AND(N(Plan!$B$12)&gt;0,N(E25)&lt;=0),Plan!$D$12,0)+IF(AND(N(Plan!$B$13)&gt;0,N(F25)&lt;=0),Plan!$D$13,0)+IF(AND(N(Plan!$B$14)&gt;0,N(G25)&lt;=0),Plan!$D$14,0)+IF(AND(N(Plan!$B$15)&gt;0,N(H25)&lt;=0),Plan!$D$15,0)+IF(AND(N(Plan!$B$16)&gt;0,N(I25)&lt;=0),Plan!$D$16,0)+IF(AND(N(Plan!$B$17)&gt;0,N(J25)&lt;=0),Plan!$D$17,0)+IF(AND(N(Plan!$B$18)&gt;0,N(K25)&lt;=0),Plan!$D$18,0),0)))</f>
        <v/>
      </c>
    </row>
    <row r="27">
      <c r="A27" s="17" t="n">
        <v>23</v>
      </c>
      <c r="B27" s="18">
        <f>IF(N(B26)&lt;=0,0,MAX(0,B26*(1+Plan!$C$9/12)-(Plan!$D$9+IF(Plan!$E$9=$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C27" s="18">
        <f>IF(N(C26)&lt;=0,0,MAX(0,C26*(1+Plan!$C$10/12)-(Plan!$D$10+IF(Plan!$E$10=$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D27" s="18">
        <f>IF(N(D26)&lt;=0,0,MAX(0,D26*(1+Plan!$C$11/12)-(Plan!$D$11+IF(Plan!$E$11=$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E27" s="18">
        <f>IF(N(E26)&lt;=0,0,MAX(0,E26*(1+Plan!$C$12/12)-(Plan!$D$12+IF(Plan!$E$12=$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F27" s="18">
        <f>IF(N(F26)&lt;=0,0,MAX(0,F26*(1+Plan!$C$13/12)-(Plan!$D$13+IF(Plan!$E$13=$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G27" s="18">
        <f>IF(N(G26)&lt;=0,0,MAX(0,G26*(1+Plan!$C$14/12)-(Plan!$D$14+IF(Plan!$E$14=$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H27" s="18">
        <f>IF(N(H26)&lt;=0,0,MAX(0,H26*(1+Plan!$C$15/12)-(Plan!$D$15+IF(Plan!$E$15=$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I27" s="18">
        <f>IF(N(I26)&lt;=0,0,MAX(0,I26*(1+Plan!$C$16/12)-(Plan!$D$16+IF(Plan!$E$16=$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J27" s="18">
        <f>IF(N(J26)&lt;=0,0,MAX(0,J26*(1+Plan!$C$17/12)-(Plan!$D$17+IF(Plan!$E$17=$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K27" s="18">
        <f>IF(N(K26)&lt;=0,0,MAX(0,K26*(1+Plan!$C$18/12)-(Plan!$D$18+IF(Plan!$E$18=$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c r="L27" s="19">
        <f>MIN(IF(N(B26)&gt;0,Plan!$E$9,999),IF(N(C26)&gt;0,Plan!$E$10,999),IF(N(D26)&gt;0,Plan!$E$11,999),IF(N(E26)&gt;0,Plan!$E$12,999),IF(N(F26)&gt;0,Plan!$E$13,999),IF(N(G26)&gt;0,Plan!$E$14,999),IF(N(H26)&gt;0,Plan!$E$15,999),IF(N(I26)&gt;0,Plan!$E$16,999),IF(N(J26)&gt;0,Plan!$E$17,999),IF(N(K26)&gt;0,Plan!$E$18,999))</f>
        <v/>
      </c>
      <c r="M27" s="18">
        <f>IF(N(B26)&lt;=0,0,MIN(B26*(1+Plan!$C$9/12),Plan!$D$9+IF(Plan!$E$9=$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IF(N(C26)&lt;=0,0,MIN(C26*(1+Plan!$C$10/12),Plan!$D$10+IF(Plan!$E$10=$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IF(N(D26)&lt;=0,0,MIN(D26*(1+Plan!$C$11/12),Plan!$D$11+IF(Plan!$E$11=$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IF(N(E26)&lt;=0,0,MIN(E26*(1+Plan!$C$12/12),Plan!$D$12+IF(Plan!$E$12=$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IF(N(F26)&lt;=0,0,MIN(F26*(1+Plan!$C$13/12),Plan!$D$13+IF(Plan!$E$13=$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IF(N(G26)&lt;=0,0,MIN(G26*(1+Plan!$C$14/12),Plan!$D$14+IF(Plan!$E$14=$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IF(N(H26)&lt;=0,0,MIN(H26*(1+Plan!$C$15/12),Plan!$D$15+IF(Plan!$E$15=$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IF(N(I26)&lt;=0,0,MIN(I26*(1+Plan!$C$16/12),Plan!$D$16+IF(Plan!$E$16=$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IF(N(J26)&lt;=0,0,MIN(J26*(1+Plan!$C$17/12),Plan!$D$17+IF(Plan!$E$17=$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IF(N(K26)&lt;=0,0,MIN(K26*(1+Plan!$C$18/12),Plan!$D$18+IF(Plan!$E$18=$L27,Plan!$B$5+IF(AND(N(Plan!$B$9)&gt;0,N(B26)&lt;=0),Plan!$D$9,0)+IF(AND(N(Plan!$B$10)&gt;0,N(C26)&lt;=0),Plan!$D$10,0)+IF(AND(N(Plan!$B$11)&gt;0,N(D26)&lt;=0),Plan!$D$11,0)+IF(AND(N(Plan!$B$12)&gt;0,N(E26)&lt;=0),Plan!$D$12,0)+IF(AND(N(Plan!$B$13)&gt;0,N(F26)&lt;=0),Plan!$D$13,0)+IF(AND(N(Plan!$B$14)&gt;0,N(G26)&lt;=0),Plan!$D$14,0)+IF(AND(N(Plan!$B$15)&gt;0,N(H26)&lt;=0),Plan!$D$15,0)+IF(AND(N(Plan!$B$16)&gt;0,N(I26)&lt;=0),Plan!$D$16,0)+IF(AND(N(Plan!$B$17)&gt;0,N(J26)&lt;=0),Plan!$D$17,0)+IF(AND(N(Plan!$B$18)&gt;0,N(K26)&lt;=0),Plan!$D$18,0),0)))</f>
        <v/>
      </c>
    </row>
    <row r="28">
      <c r="A28" s="17" t="n">
        <v>24</v>
      </c>
      <c r="B28" s="18">
        <f>IF(N(B27)&lt;=0,0,MAX(0,B27*(1+Plan!$C$9/12)-(Plan!$D$9+IF(Plan!$E$9=$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C28" s="18">
        <f>IF(N(C27)&lt;=0,0,MAX(0,C27*(1+Plan!$C$10/12)-(Plan!$D$10+IF(Plan!$E$10=$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D28" s="18">
        <f>IF(N(D27)&lt;=0,0,MAX(0,D27*(1+Plan!$C$11/12)-(Plan!$D$11+IF(Plan!$E$11=$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E28" s="18">
        <f>IF(N(E27)&lt;=0,0,MAX(0,E27*(1+Plan!$C$12/12)-(Plan!$D$12+IF(Plan!$E$12=$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F28" s="18">
        <f>IF(N(F27)&lt;=0,0,MAX(0,F27*(1+Plan!$C$13/12)-(Plan!$D$13+IF(Plan!$E$13=$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G28" s="18">
        <f>IF(N(G27)&lt;=0,0,MAX(0,G27*(1+Plan!$C$14/12)-(Plan!$D$14+IF(Plan!$E$14=$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H28" s="18">
        <f>IF(N(H27)&lt;=0,0,MAX(0,H27*(1+Plan!$C$15/12)-(Plan!$D$15+IF(Plan!$E$15=$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I28" s="18">
        <f>IF(N(I27)&lt;=0,0,MAX(0,I27*(1+Plan!$C$16/12)-(Plan!$D$16+IF(Plan!$E$16=$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J28" s="18">
        <f>IF(N(J27)&lt;=0,0,MAX(0,J27*(1+Plan!$C$17/12)-(Plan!$D$17+IF(Plan!$E$17=$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K28" s="18">
        <f>IF(N(K27)&lt;=0,0,MAX(0,K27*(1+Plan!$C$18/12)-(Plan!$D$18+IF(Plan!$E$18=$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c r="L28" s="19">
        <f>MIN(IF(N(B27)&gt;0,Plan!$E$9,999),IF(N(C27)&gt;0,Plan!$E$10,999),IF(N(D27)&gt;0,Plan!$E$11,999),IF(N(E27)&gt;0,Plan!$E$12,999),IF(N(F27)&gt;0,Plan!$E$13,999),IF(N(G27)&gt;0,Plan!$E$14,999),IF(N(H27)&gt;0,Plan!$E$15,999),IF(N(I27)&gt;0,Plan!$E$16,999),IF(N(J27)&gt;0,Plan!$E$17,999),IF(N(K27)&gt;0,Plan!$E$18,999))</f>
        <v/>
      </c>
      <c r="M28" s="18">
        <f>IF(N(B27)&lt;=0,0,MIN(B27*(1+Plan!$C$9/12),Plan!$D$9+IF(Plan!$E$9=$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IF(N(C27)&lt;=0,0,MIN(C27*(1+Plan!$C$10/12),Plan!$D$10+IF(Plan!$E$10=$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IF(N(D27)&lt;=0,0,MIN(D27*(1+Plan!$C$11/12),Plan!$D$11+IF(Plan!$E$11=$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IF(N(E27)&lt;=0,0,MIN(E27*(1+Plan!$C$12/12),Plan!$D$12+IF(Plan!$E$12=$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IF(N(F27)&lt;=0,0,MIN(F27*(1+Plan!$C$13/12),Plan!$D$13+IF(Plan!$E$13=$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IF(N(G27)&lt;=0,0,MIN(G27*(1+Plan!$C$14/12),Plan!$D$14+IF(Plan!$E$14=$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IF(N(H27)&lt;=0,0,MIN(H27*(1+Plan!$C$15/12),Plan!$D$15+IF(Plan!$E$15=$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IF(N(I27)&lt;=0,0,MIN(I27*(1+Plan!$C$16/12),Plan!$D$16+IF(Plan!$E$16=$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IF(N(J27)&lt;=0,0,MIN(J27*(1+Plan!$C$17/12),Plan!$D$17+IF(Plan!$E$17=$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IF(N(K27)&lt;=0,0,MIN(K27*(1+Plan!$C$18/12),Plan!$D$18+IF(Plan!$E$18=$L28,Plan!$B$5+IF(AND(N(Plan!$B$9)&gt;0,N(B27)&lt;=0),Plan!$D$9,0)+IF(AND(N(Plan!$B$10)&gt;0,N(C27)&lt;=0),Plan!$D$10,0)+IF(AND(N(Plan!$B$11)&gt;0,N(D27)&lt;=0),Plan!$D$11,0)+IF(AND(N(Plan!$B$12)&gt;0,N(E27)&lt;=0),Plan!$D$12,0)+IF(AND(N(Plan!$B$13)&gt;0,N(F27)&lt;=0),Plan!$D$13,0)+IF(AND(N(Plan!$B$14)&gt;0,N(G27)&lt;=0),Plan!$D$14,0)+IF(AND(N(Plan!$B$15)&gt;0,N(H27)&lt;=0),Plan!$D$15,0)+IF(AND(N(Plan!$B$16)&gt;0,N(I27)&lt;=0),Plan!$D$16,0)+IF(AND(N(Plan!$B$17)&gt;0,N(J27)&lt;=0),Plan!$D$17,0)+IF(AND(N(Plan!$B$18)&gt;0,N(K27)&lt;=0),Plan!$D$18,0),0)))</f>
        <v/>
      </c>
    </row>
    <row r="29">
      <c r="A29" s="17" t="n">
        <v>25</v>
      </c>
      <c r="B29" s="18">
        <f>IF(N(B28)&lt;=0,0,MAX(0,B28*(1+Plan!$C$9/12)-(Plan!$D$9+IF(Plan!$E$9=$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C29" s="18">
        <f>IF(N(C28)&lt;=0,0,MAX(0,C28*(1+Plan!$C$10/12)-(Plan!$D$10+IF(Plan!$E$10=$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D29" s="18">
        <f>IF(N(D28)&lt;=0,0,MAX(0,D28*(1+Plan!$C$11/12)-(Plan!$D$11+IF(Plan!$E$11=$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E29" s="18">
        <f>IF(N(E28)&lt;=0,0,MAX(0,E28*(1+Plan!$C$12/12)-(Plan!$D$12+IF(Plan!$E$12=$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F29" s="18">
        <f>IF(N(F28)&lt;=0,0,MAX(0,F28*(1+Plan!$C$13/12)-(Plan!$D$13+IF(Plan!$E$13=$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G29" s="18">
        <f>IF(N(G28)&lt;=0,0,MAX(0,G28*(1+Plan!$C$14/12)-(Plan!$D$14+IF(Plan!$E$14=$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H29" s="18">
        <f>IF(N(H28)&lt;=0,0,MAX(0,H28*(1+Plan!$C$15/12)-(Plan!$D$15+IF(Plan!$E$15=$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I29" s="18">
        <f>IF(N(I28)&lt;=0,0,MAX(0,I28*(1+Plan!$C$16/12)-(Plan!$D$16+IF(Plan!$E$16=$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J29" s="18">
        <f>IF(N(J28)&lt;=0,0,MAX(0,J28*(1+Plan!$C$17/12)-(Plan!$D$17+IF(Plan!$E$17=$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K29" s="18">
        <f>IF(N(K28)&lt;=0,0,MAX(0,K28*(1+Plan!$C$18/12)-(Plan!$D$18+IF(Plan!$E$18=$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c r="L29" s="19">
        <f>MIN(IF(N(B28)&gt;0,Plan!$E$9,999),IF(N(C28)&gt;0,Plan!$E$10,999),IF(N(D28)&gt;0,Plan!$E$11,999),IF(N(E28)&gt;0,Plan!$E$12,999),IF(N(F28)&gt;0,Plan!$E$13,999),IF(N(G28)&gt;0,Plan!$E$14,999),IF(N(H28)&gt;0,Plan!$E$15,999),IF(N(I28)&gt;0,Plan!$E$16,999),IF(N(J28)&gt;0,Plan!$E$17,999),IF(N(K28)&gt;0,Plan!$E$18,999))</f>
        <v/>
      </c>
      <c r="M29" s="18">
        <f>IF(N(B28)&lt;=0,0,MIN(B28*(1+Plan!$C$9/12),Plan!$D$9+IF(Plan!$E$9=$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IF(N(C28)&lt;=0,0,MIN(C28*(1+Plan!$C$10/12),Plan!$D$10+IF(Plan!$E$10=$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IF(N(D28)&lt;=0,0,MIN(D28*(1+Plan!$C$11/12),Plan!$D$11+IF(Plan!$E$11=$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IF(N(E28)&lt;=0,0,MIN(E28*(1+Plan!$C$12/12),Plan!$D$12+IF(Plan!$E$12=$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IF(N(F28)&lt;=0,0,MIN(F28*(1+Plan!$C$13/12),Plan!$D$13+IF(Plan!$E$13=$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IF(N(G28)&lt;=0,0,MIN(G28*(1+Plan!$C$14/12),Plan!$D$14+IF(Plan!$E$14=$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IF(N(H28)&lt;=0,0,MIN(H28*(1+Plan!$C$15/12),Plan!$D$15+IF(Plan!$E$15=$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IF(N(I28)&lt;=0,0,MIN(I28*(1+Plan!$C$16/12),Plan!$D$16+IF(Plan!$E$16=$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IF(N(J28)&lt;=0,0,MIN(J28*(1+Plan!$C$17/12),Plan!$D$17+IF(Plan!$E$17=$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IF(N(K28)&lt;=0,0,MIN(K28*(1+Plan!$C$18/12),Plan!$D$18+IF(Plan!$E$18=$L29,Plan!$B$5+IF(AND(N(Plan!$B$9)&gt;0,N(B28)&lt;=0),Plan!$D$9,0)+IF(AND(N(Plan!$B$10)&gt;0,N(C28)&lt;=0),Plan!$D$10,0)+IF(AND(N(Plan!$B$11)&gt;0,N(D28)&lt;=0),Plan!$D$11,0)+IF(AND(N(Plan!$B$12)&gt;0,N(E28)&lt;=0),Plan!$D$12,0)+IF(AND(N(Plan!$B$13)&gt;0,N(F28)&lt;=0),Plan!$D$13,0)+IF(AND(N(Plan!$B$14)&gt;0,N(G28)&lt;=0),Plan!$D$14,0)+IF(AND(N(Plan!$B$15)&gt;0,N(H28)&lt;=0),Plan!$D$15,0)+IF(AND(N(Plan!$B$16)&gt;0,N(I28)&lt;=0),Plan!$D$16,0)+IF(AND(N(Plan!$B$17)&gt;0,N(J28)&lt;=0),Plan!$D$17,0)+IF(AND(N(Plan!$B$18)&gt;0,N(K28)&lt;=0),Plan!$D$18,0),0)))</f>
        <v/>
      </c>
    </row>
    <row r="30">
      <c r="A30" s="17" t="n">
        <v>26</v>
      </c>
      <c r="B30" s="18">
        <f>IF(N(B29)&lt;=0,0,MAX(0,B29*(1+Plan!$C$9/12)-(Plan!$D$9+IF(Plan!$E$9=$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C30" s="18">
        <f>IF(N(C29)&lt;=0,0,MAX(0,C29*(1+Plan!$C$10/12)-(Plan!$D$10+IF(Plan!$E$10=$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D30" s="18">
        <f>IF(N(D29)&lt;=0,0,MAX(0,D29*(1+Plan!$C$11/12)-(Plan!$D$11+IF(Plan!$E$11=$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E30" s="18">
        <f>IF(N(E29)&lt;=0,0,MAX(0,E29*(1+Plan!$C$12/12)-(Plan!$D$12+IF(Plan!$E$12=$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F30" s="18">
        <f>IF(N(F29)&lt;=0,0,MAX(0,F29*(1+Plan!$C$13/12)-(Plan!$D$13+IF(Plan!$E$13=$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G30" s="18">
        <f>IF(N(G29)&lt;=0,0,MAX(0,G29*(1+Plan!$C$14/12)-(Plan!$D$14+IF(Plan!$E$14=$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H30" s="18">
        <f>IF(N(H29)&lt;=0,0,MAX(0,H29*(1+Plan!$C$15/12)-(Plan!$D$15+IF(Plan!$E$15=$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I30" s="18">
        <f>IF(N(I29)&lt;=0,0,MAX(0,I29*(1+Plan!$C$16/12)-(Plan!$D$16+IF(Plan!$E$16=$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J30" s="18">
        <f>IF(N(J29)&lt;=0,0,MAX(0,J29*(1+Plan!$C$17/12)-(Plan!$D$17+IF(Plan!$E$17=$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K30" s="18">
        <f>IF(N(K29)&lt;=0,0,MAX(0,K29*(1+Plan!$C$18/12)-(Plan!$D$18+IF(Plan!$E$18=$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c r="L30" s="19">
        <f>MIN(IF(N(B29)&gt;0,Plan!$E$9,999),IF(N(C29)&gt;0,Plan!$E$10,999),IF(N(D29)&gt;0,Plan!$E$11,999),IF(N(E29)&gt;0,Plan!$E$12,999),IF(N(F29)&gt;0,Plan!$E$13,999),IF(N(G29)&gt;0,Plan!$E$14,999),IF(N(H29)&gt;0,Plan!$E$15,999),IF(N(I29)&gt;0,Plan!$E$16,999),IF(N(J29)&gt;0,Plan!$E$17,999),IF(N(K29)&gt;0,Plan!$E$18,999))</f>
        <v/>
      </c>
      <c r="M30" s="18">
        <f>IF(N(B29)&lt;=0,0,MIN(B29*(1+Plan!$C$9/12),Plan!$D$9+IF(Plan!$E$9=$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IF(N(C29)&lt;=0,0,MIN(C29*(1+Plan!$C$10/12),Plan!$D$10+IF(Plan!$E$10=$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IF(N(D29)&lt;=0,0,MIN(D29*(1+Plan!$C$11/12),Plan!$D$11+IF(Plan!$E$11=$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IF(N(E29)&lt;=0,0,MIN(E29*(1+Plan!$C$12/12),Plan!$D$12+IF(Plan!$E$12=$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IF(N(F29)&lt;=0,0,MIN(F29*(1+Plan!$C$13/12),Plan!$D$13+IF(Plan!$E$13=$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IF(N(G29)&lt;=0,0,MIN(G29*(1+Plan!$C$14/12),Plan!$D$14+IF(Plan!$E$14=$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IF(N(H29)&lt;=0,0,MIN(H29*(1+Plan!$C$15/12),Plan!$D$15+IF(Plan!$E$15=$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IF(N(I29)&lt;=0,0,MIN(I29*(1+Plan!$C$16/12),Plan!$D$16+IF(Plan!$E$16=$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IF(N(J29)&lt;=0,0,MIN(J29*(1+Plan!$C$17/12),Plan!$D$17+IF(Plan!$E$17=$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IF(N(K29)&lt;=0,0,MIN(K29*(1+Plan!$C$18/12),Plan!$D$18+IF(Plan!$E$18=$L30,Plan!$B$5+IF(AND(N(Plan!$B$9)&gt;0,N(B29)&lt;=0),Plan!$D$9,0)+IF(AND(N(Plan!$B$10)&gt;0,N(C29)&lt;=0),Plan!$D$10,0)+IF(AND(N(Plan!$B$11)&gt;0,N(D29)&lt;=0),Plan!$D$11,0)+IF(AND(N(Plan!$B$12)&gt;0,N(E29)&lt;=0),Plan!$D$12,0)+IF(AND(N(Plan!$B$13)&gt;0,N(F29)&lt;=0),Plan!$D$13,0)+IF(AND(N(Plan!$B$14)&gt;0,N(G29)&lt;=0),Plan!$D$14,0)+IF(AND(N(Plan!$B$15)&gt;0,N(H29)&lt;=0),Plan!$D$15,0)+IF(AND(N(Plan!$B$16)&gt;0,N(I29)&lt;=0),Plan!$D$16,0)+IF(AND(N(Plan!$B$17)&gt;0,N(J29)&lt;=0),Plan!$D$17,0)+IF(AND(N(Plan!$B$18)&gt;0,N(K29)&lt;=0),Plan!$D$18,0),0)))</f>
        <v/>
      </c>
    </row>
    <row r="31">
      <c r="A31" s="17" t="n">
        <v>27</v>
      </c>
      <c r="B31" s="18">
        <f>IF(N(B30)&lt;=0,0,MAX(0,B30*(1+Plan!$C$9/12)-(Plan!$D$9+IF(Plan!$E$9=$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C31" s="18">
        <f>IF(N(C30)&lt;=0,0,MAX(0,C30*(1+Plan!$C$10/12)-(Plan!$D$10+IF(Plan!$E$10=$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D31" s="18">
        <f>IF(N(D30)&lt;=0,0,MAX(0,D30*(1+Plan!$C$11/12)-(Plan!$D$11+IF(Plan!$E$11=$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E31" s="18">
        <f>IF(N(E30)&lt;=0,0,MAX(0,E30*(1+Plan!$C$12/12)-(Plan!$D$12+IF(Plan!$E$12=$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F31" s="18">
        <f>IF(N(F30)&lt;=0,0,MAX(0,F30*(1+Plan!$C$13/12)-(Plan!$D$13+IF(Plan!$E$13=$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G31" s="18">
        <f>IF(N(G30)&lt;=0,0,MAX(0,G30*(1+Plan!$C$14/12)-(Plan!$D$14+IF(Plan!$E$14=$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H31" s="18">
        <f>IF(N(H30)&lt;=0,0,MAX(0,H30*(1+Plan!$C$15/12)-(Plan!$D$15+IF(Plan!$E$15=$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I31" s="18">
        <f>IF(N(I30)&lt;=0,0,MAX(0,I30*(1+Plan!$C$16/12)-(Plan!$D$16+IF(Plan!$E$16=$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J31" s="18">
        <f>IF(N(J30)&lt;=0,0,MAX(0,J30*(1+Plan!$C$17/12)-(Plan!$D$17+IF(Plan!$E$17=$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K31" s="18">
        <f>IF(N(K30)&lt;=0,0,MAX(0,K30*(1+Plan!$C$18/12)-(Plan!$D$18+IF(Plan!$E$18=$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c r="L31" s="19">
        <f>MIN(IF(N(B30)&gt;0,Plan!$E$9,999),IF(N(C30)&gt;0,Plan!$E$10,999),IF(N(D30)&gt;0,Plan!$E$11,999),IF(N(E30)&gt;0,Plan!$E$12,999),IF(N(F30)&gt;0,Plan!$E$13,999),IF(N(G30)&gt;0,Plan!$E$14,999),IF(N(H30)&gt;0,Plan!$E$15,999),IF(N(I30)&gt;0,Plan!$E$16,999),IF(N(J30)&gt;0,Plan!$E$17,999),IF(N(K30)&gt;0,Plan!$E$18,999))</f>
        <v/>
      </c>
      <c r="M31" s="18">
        <f>IF(N(B30)&lt;=0,0,MIN(B30*(1+Plan!$C$9/12),Plan!$D$9+IF(Plan!$E$9=$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IF(N(C30)&lt;=0,0,MIN(C30*(1+Plan!$C$10/12),Plan!$D$10+IF(Plan!$E$10=$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IF(N(D30)&lt;=0,0,MIN(D30*(1+Plan!$C$11/12),Plan!$D$11+IF(Plan!$E$11=$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IF(N(E30)&lt;=0,0,MIN(E30*(1+Plan!$C$12/12),Plan!$D$12+IF(Plan!$E$12=$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IF(N(F30)&lt;=0,0,MIN(F30*(1+Plan!$C$13/12),Plan!$D$13+IF(Plan!$E$13=$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IF(N(G30)&lt;=0,0,MIN(G30*(1+Plan!$C$14/12),Plan!$D$14+IF(Plan!$E$14=$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IF(N(H30)&lt;=0,0,MIN(H30*(1+Plan!$C$15/12),Plan!$D$15+IF(Plan!$E$15=$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IF(N(I30)&lt;=0,0,MIN(I30*(1+Plan!$C$16/12),Plan!$D$16+IF(Plan!$E$16=$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IF(N(J30)&lt;=0,0,MIN(J30*(1+Plan!$C$17/12),Plan!$D$17+IF(Plan!$E$17=$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IF(N(K30)&lt;=0,0,MIN(K30*(1+Plan!$C$18/12),Plan!$D$18+IF(Plan!$E$18=$L31,Plan!$B$5+IF(AND(N(Plan!$B$9)&gt;0,N(B30)&lt;=0),Plan!$D$9,0)+IF(AND(N(Plan!$B$10)&gt;0,N(C30)&lt;=0),Plan!$D$10,0)+IF(AND(N(Plan!$B$11)&gt;0,N(D30)&lt;=0),Plan!$D$11,0)+IF(AND(N(Plan!$B$12)&gt;0,N(E30)&lt;=0),Plan!$D$12,0)+IF(AND(N(Plan!$B$13)&gt;0,N(F30)&lt;=0),Plan!$D$13,0)+IF(AND(N(Plan!$B$14)&gt;0,N(G30)&lt;=0),Plan!$D$14,0)+IF(AND(N(Plan!$B$15)&gt;0,N(H30)&lt;=0),Plan!$D$15,0)+IF(AND(N(Plan!$B$16)&gt;0,N(I30)&lt;=0),Plan!$D$16,0)+IF(AND(N(Plan!$B$17)&gt;0,N(J30)&lt;=0),Plan!$D$17,0)+IF(AND(N(Plan!$B$18)&gt;0,N(K30)&lt;=0),Plan!$D$18,0),0)))</f>
        <v/>
      </c>
    </row>
    <row r="32">
      <c r="A32" s="17" t="n">
        <v>28</v>
      </c>
      <c r="B32" s="18">
        <f>IF(N(B31)&lt;=0,0,MAX(0,B31*(1+Plan!$C$9/12)-(Plan!$D$9+IF(Plan!$E$9=$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C32" s="18">
        <f>IF(N(C31)&lt;=0,0,MAX(0,C31*(1+Plan!$C$10/12)-(Plan!$D$10+IF(Plan!$E$10=$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D32" s="18">
        <f>IF(N(D31)&lt;=0,0,MAX(0,D31*(1+Plan!$C$11/12)-(Plan!$D$11+IF(Plan!$E$11=$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E32" s="18">
        <f>IF(N(E31)&lt;=0,0,MAX(0,E31*(1+Plan!$C$12/12)-(Plan!$D$12+IF(Plan!$E$12=$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F32" s="18">
        <f>IF(N(F31)&lt;=0,0,MAX(0,F31*(1+Plan!$C$13/12)-(Plan!$D$13+IF(Plan!$E$13=$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G32" s="18">
        <f>IF(N(G31)&lt;=0,0,MAX(0,G31*(1+Plan!$C$14/12)-(Plan!$D$14+IF(Plan!$E$14=$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H32" s="18">
        <f>IF(N(H31)&lt;=0,0,MAX(0,H31*(1+Plan!$C$15/12)-(Plan!$D$15+IF(Plan!$E$15=$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I32" s="18">
        <f>IF(N(I31)&lt;=0,0,MAX(0,I31*(1+Plan!$C$16/12)-(Plan!$D$16+IF(Plan!$E$16=$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J32" s="18">
        <f>IF(N(J31)&lt;=0,0,MAX(0,J31*(1+Plan!$C$17/12)-(Plan!$D$17+IF(Plan!$E$17=$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K32" s="18">
        <f>IF(N(K31)&lt;=0,0,MAX(0,K31*(1+Plan!$C$18/12)-(Plan!$D$18+IF(Plan!$E$18=$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c r="L32" s="19">
        <f>MIN(IF(N(B31)&gt;0,Plan!$E$9,999),IF(N(C31)&gt;0,Plan!$E$10,999),IF(N(D31)&gt;0,Plan!$E$11,999),IF(N(E31)&gt;0,Plan!$E$12,999),IF(N(F31)&gt;0,Plan!$E$13,999),IF(N(G31)&gt;0,Plan!$E$14,999),IF(N(H31)&gt;0,Plan!$E$15,999),IF(N(I31)&gt;0,Plan!$E$16,999),IF(N(J31)&gt;0,Plan!$E$17,999),IF(N(K31)&gt;0,Plan!$E$18,999))</f>
        <v/>
      </c>
      <c r="M32" s="18">
        <f>IF(N(B31)&lt;=0,0,MIN(B31*(1+Plan!$C$9/12),Plan!$D$9+IF(Plan!$E$9=$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IF(N(C31)&lt;=0,0,MIN(C31*(1+Plan!$C$10/12),Plan!$D$10+IF(Plan!$E$10=$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IF(N(D31)&lt;=0,0,MIN(D31*(1+Plan!$C$11/12),Plan!$D$11+IF(Plan!$E$11=$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IF(N(E31)&lt;=0,0,MIN(E31*(1+Plan!$C$12/12),Plan!$D$12+IF(Plan!$E$12=$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IF(N(F31)&lt;=0,0,MIN(F31*(1+Plan!$C$13/12),Plan!$D$13+IF(Plan!$E$13=$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IF(N(G31)&lt;=0,0,MIN(G31*(1+Plan!$C$14/12),Plan!$D$14+IF(Plan!$E$14=$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IF(N(H31)&lt;=0,0,MIN(H31*(1+Plan!$C$15/12),Plan!$D$15+IF(Plan!$E$15=$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IF(N(I31)&lt;=0,0,MIN(I31*(1+Plan!$C$16/12),Plan!$D$16+IF(Plan!$E$16=$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IF(N(J31)&lt;=0,0,MIN(J31*(1+Plan!$C$17/12),Plan!$D$17+IF(Plan!$E$17=$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IF(N(K31)&lt;=0,0,MIN(K31*(1+Plan!$C$18/12),Plan!$D$18+IF(Plan!$E$18=$L32,Plan!$B$5+IF(AND(N(Plan!$B$9)&gt;0,N(B31)&lt;=0),Plan!$D$9,0)+IF(AND(N(Plan!$B$10)&gt;0,N(C31)&lt;=0),Plan!$D$10,0)+IF(AND(N(Plan!$B$11)&gt;0,N(D31)&lt;=0),Plan!$D$11,0)+IF(AND(N(Plan!$B$12)&gt;0,N(E31)&lt;=0),Plan!$D$12,0)+IF(AND(N(Plan!$B$13)&gt;0,N(F31)&lt;=0),Plan!$D$13,0)+IF(AND(N(Plan!$B$14)&gt;0,N(G31)&lt;=0),Plan!$D$14,0)+IF(AND(N(Plan!$B$15)&gt;0,N(H31)&lt;=0),Plan!$D$15,0)+IF(AND(N(Plan!$B$16)&gt;0,N(I31)&lt;=0),Plan!$D$16,0)+IF(AND(N(Plan!$B$17)&gt;0,N(J31)&lt;=0),Plan!$D$17,0)+IF(AND(N(Plan!$B$18)&gt;0,N(K31)&lt;=0),Plan!$D$18,0),0)))</f>
        <v/>
      </c>
    </row>
    <row r="33">
      <c r="A33" s="17" t="n">
        <v>29</v>
      </c>
      <c r="B33" s="18">
        <f>IF(N(B32)&lt;=0,0,MAX(0,B32*(1+Plan!$C$9/12)-(Plan!$D$9+IF(Plan!$E$9=$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C33" s="18">
        <f>IF(N(C32)&lt;=0,0,MAX(0,C32*(1+Plan!$C$10/12)-(Plan!$D$10+IF(Plan!$E$10=$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D33" s="18">
        <f>IF(N(D32)&lt;=0,0,MAX(0,D32*(1+Plan!$C$11/12)-(Plan!$D$11+IF(Plan!$E$11=$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E33" s="18">
        <f>IF(N(E32)&lt;=0,0,MAX(0,E32*(1+Plan!$C$12/12)-(Plan!$D$12+IF(Plan!$E$12=$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F33" s="18">
        <f>IF(N(F32)&lt;=0,0,MAX(0,F32*(1+Plan!$C$13/12)-(Plan!$D$13+IF(Plan!$E$13=$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G33" s="18">
        <f>IF(N(G32)&lt;=0,0,MAX(0,G32*(1+Plan!$C$14/12)-(Plan!$D$14+IF(Plan!$E$14=$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H33" s="18">
        <f>IF(N(H32)&lt;=0,0,MAX(0,H32*(1+Plan!$C$15/12)-(Plan!$D$15+IF(Plan!$E$15=$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I33" s="18">
        <f>IF(N(I32)&lt;=0,0,MAX(0,I32*(1+Plan!$C$16/12)-(Plan!$D$16+IF(Plan!$E$16=$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J33" s="18">
        <f>IF(N(J32)&lt;=0,0,MAX(0,J32*(1+Plan!$C$17/12)-(Plan!$D$17+IF(Plan!$E$17=$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K33" s="18">
        <f>IF(N(K32)&lt;=0,0,MAX(0,K32*(1+Plan!$C$18/12)-(Plan!$D$18+IF(Plan!$E$18=$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c r="L33" s="19">
        <f>MIN(IF(N(B32)&gt;0,Plan!$E$9,999),IF(N(C32)&gt;0,Plan!$E$10,999),IF(N(D32)&gt;0,Plan!$E$11,999),IF(N(E32)&gt;0,Plan!$E$12,999),IF(N(F32)&gt;0,Plan!$E$13,999),IF(N(G32)&gt;0,Plan!$E$14,999),IF(N(H32)&gt;0,Plan!$E$15,999),IF(N(I32)&gt;0,Plan!$E$16,999),IF(N(J32)&gt;0,Plan!$E$17,999),IF(N(K32)&gt;0,Plan!$E$18,999))</f>
        <v/>
      </c>
      <c r="M33" s="18">
        <f>IF(N(B32)&lt;=0,0,MIN(B32*(1+Plan!$C$9/12),Plan!$D$9+IF(Plan!$E$9=$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IF(N(C32)&lt;=0,0,MIN(C32*(1+Plan!$C$10/12),Plan!$D$10+IF(Plan!$E$10=$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IF(N(D32)&lt;=0,0,MIN(D32*(1+Plan!$C$11/12),Plan!$D$11+IF(Plan!$E$11=$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IF(N(E32)&lt;=0,0,MIN(E32*(1+Plan!$C$12/12),Plan!$D$12+IF(Plan!$E$12=$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IF(N(F32)&lt;=0,0,MIN(F32*(1+Plan!$C$13/12),Plan!$D$13+IF(Plan!$E$13=$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IF(N(G32)&lt;=0,0,MIN(G32*(1+Plan!$C$14/12),Plan!$D$14+IF(Plan!$E$14=$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IF(N(H32)&lt;=0,0,MIN(H32*(1+Plan!$C$15/12),Plan!$D$15+IF(Plan!$E$15=$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IF(N(I32)&lt;=0,0,MIN(I32*(1+Plan!$C$16/12),Plan!$D$16+IF(Plan!$E$16=$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IF(N(J32)&lt;=0,0,MIN(J32*(1+Plan!$C$17/12),Plan!$D$17+IF(Plan!$E$17=$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IF(N(K32)&lt;=0,0,MIN(K32*(1+Plan!$C$18/12),Plan!$D$18+IF(Plan!$E$18=$L33,Plan!$B$5+IF(AND(N(Plan!$B$9)&gt;0,N(B32)&lt;=0),Plan!$D$9,0)+IF(AND(N(Plan!$B$10)&gt;0,N(C32)&lt;=0),Plan!$D$10,0)+IF(AND(N(Plan!$B$11)&gt;0,N(D32)&lt;=0),Plan!$D$11,0)+IF(AND(N(Plan!$B$12)&gt;0,N(E32)&lt;=0),Plan!$D$12,0)+IF(AND(N(Plan!$B$13)&gt;0,N(F32)&lt;=0),Plan!$D$13,0)+IF(AND(N(Plan!$B$14)&gt;0,N(G32)&lt;=0),Plan!$D$14,0)+IF(AND(N(Plan!$B$15)&gt;0,N(H32)&lt;=0),Plan!$D$15,0)+IF(AND(N(Plan!$B$16)&gt;0,N(I32)&lt;=0),Plan!$D$16,0)+IF(AND(N(Plan!$B$17)&gt;0,N(J32)&lt;=0),Plan!$D$17,0)+IF(AND(N(Plan!$B$18)&gt;0,N(K32)&lt;=0),Plan!$D$18,0),0)))</f>
        <v/>
      </c>
    </row>
    <row r="34">
      <c r="A34" s="17" t="n">
        <v>30</v>
      </c>
      <c r="B34" s="18">
        <f>IF(N(B33)&lt;=0,0,MAX(0,B33*(1+Plan!$C$9/12)-(Plan!$D$9+IF(Plan!$E$9=$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C34" s="18">
        <f>IF(N(C33)&lt;=0,0,MAX(0,C33*(1+Plan!$C$10/12)-(Plan!$D$10+IF(Plan!$E$10=$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D34" s="18">
        <f>IF(N(D33)&lt;=0,0,MAX(0,D33*(1+Plan!$C$11/12)-(Plan!$D$11+IF(Plan!$E$11=$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E34" s="18">
        <f>IF(N(E33)&lt;=0,0,MAX(0,E33*(1+Plan!$C$12/12)-(Plan!$D$12+IF(Plan!$E$12=$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F34" s="18">
        <f>IF(N(F33)&lt;=0,0,MAX(0,F33*(1+Plan!$C$13/12)-(Plan!$D$13+IF(Plan!$E$13=$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G34" s="18">
        <f>IF(N(G33)&lt;=0,0,MAX(0,G33*(1+Plan!$C$14/12)-(Plan!$D$14+IF(Plan!$E$14=$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H34" s="18">
        <f>IF(N(H33)&lt;=0,0,MAX(0,H33*(1+Plan!$C$15/12)-(Plan!$D$15+IF(Plan!$E$15=$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I34" s="18">
        <f>IF(N(I33)&lt;=0,0,MAX(0,I33*(1+Plan!$C$16/12)-(Plan!$D$16+IF(Plan!$E$16=$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J34" s="18">
        <f>IF(N(J33)&lt;=0,0,MAX(0,J33*(1+Plan!$C$17/12)-(Plan!$D$17+IF(Plan!$E$17=$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K34" s="18">
        <f>IF(N(K33)&lt;=0,0,MAX(0,K33*(1+Plan!$C$18/12)-(Plan!$D$18+IF(Plan!$E$18=$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c r="L34" s="19">
        <f>MIN(IF(N(B33)&gt;0,Plan!$E$9,999),IF(N(C33)&gt;0,Plan!$E$10,999),IF(N(D33)&gt;0,Plan!$E$11,999),IF(N(E33)&gt;0,Plan!$E$12,999),IF(N(F33)&gt;0,Plan!$E$13,999),IF(N(G33)&gt;0,Plan!$E$14,999),IF(N(H33)&gt;0,Plan!$E$15,999),IF(N(I33)&gt;0,Plan!$E$16,999),IF(N(J33)&gt;0,Plan!$E$17,999),IF(N(K33)&gt;0,Plan!$E$18,999))</f>
        <v/>
      </c>
      <c r="M34" s="18">
        <f>IF(N(B33)&lt;=0,0,MIN(B33*(1+Plan!$C$9/12),Plan!$D$9+IF(Plan!$E$9=$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IF(N(C33)&lt;=0,0,MIN(C33*(1+Plan!$C$10/12),Plan!$D$10+IF(Plan!$E$10=$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IF(N(D33)&lt;=0,0,MIN(D33*(1+Plan!$C$11/12),Plan!$D$11+IF(Plan!$E$11=$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IF(N(E33)&lt;=0,0,MIN(E33*(1+Plan!$C$12/12),Plan!$D$12+IF(Plan!$E$12=$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IF(N(F33)&lt;=0,0,MIN(F33*(1+Plan!$C$13/12),Plan!$D$13+IF(Plan!$E$13=$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IF(N(G33)&lt;=0,0,MIN(G33*(1+Plan!$C$14/12),Plan!$D$14+IF(Plan!$E$14=$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IF(N(H33)&lt;=0,0,MIN(H33*(1+Plan!$C$15/12),Plan!$D$15+IF(Plan!$E$15=$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IF(N(I33)&lt;=0,0,MIN(I33*(1+Plan!$C$16/12),Plan!$D$16+IF(Plan!$E$16=$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IF(N(J33)&lt;=0,0,MIN(J33*(1+Plan!$C$17/12),Plan!$D$17+IF(Plan!$E$17=$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IF(N(K33)&lt;=0,0,MIN(K33*(1+Plan!$C$18/12),Plan!$D$18+IF(Plan!$E$18=$L34,Plan!$B$5+IF(AND(N(Plan!$B$9)&gt;0,N(B33)&lt;=0),Plan!$D$9,0)+IF(AND(N(Plan!$B$10)&gt;0,N(C33)&lt;=0),Plan!$D$10,0)+IF(AND(N(Plan!$B$11)&gt;0,N(D33)&lt;=0),Plan!$D$11,0)+IF(AND(N(Plan!$B$12)&gt;0,N(E33)&lt;=0),Plan!$D$12,0)+IF(AND(N(Plan!$B$13)&gt;0,N(F33)&lt;=0),Plan!$D$13,0)+IF(AND(N(Plan!$B$14)&gt;0,N(G33)&lt;=0),Plan!$D$14,0)+IF(AND(N(Plan!$B$15)&gt;0,N(H33)&lt;=0),Plan!$D$15,0)+IF(AND(N(Plan!$B$16)&gt;0,N(I33)&lt;=0),Plan!$D$16,0)+IF(AND(N(Plan!$B$17)&gt;0,N(J33)&lt;=0),Plan!$D$17,0)+IF(AND(N(Plan!$B$18)&gt;0,N(K33)&lt;=0),Plan!$D$18,0),0)))</f>
        <v/>
      </c>
    </row>
    <row r="35">
      <c r="A35" s="17" t="n">
        <v>31</v>
      </c>
      <c r="B35" s="18">
        <f>IF(N(B34)&lt;=0,0,MAX(0,B34*(1+Plan!$C$9/12)-(Plan!$D$9+IF(Plan!$E$9=$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C35" s="18">
        <f>IF(N(C34)&lt;=0,0,MAX(0,C34*(1+Plan!$C$10/12)-(Plan!$D$10+IF(Plan!$E$10=$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D35" s="18">
        <f>IF(N(D34)&lt;=0,0,MAX(0,D34*(1+Plan!$C$11/12)-(Plan!$D$11+IF(Plan!$E$11=$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E35" s="18">
        <f>IF(N(E34)&lt;=0,0,MAX(0,E34*(1+Plan!$C$12/12)-(Plan!$D$12+IF(Plan!$E$12=$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F35" s="18">
        <f>IF(N(F34)&lt;=0,0,MAX(0,F34*(1+Plan!$C$13/12)-(Plan!$D$13+IF(Plan!$E$13=$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G35" s="18">
        <f>IF(N(G34)&lt;=0,0,MAX(0,G34*(1+Plan!$C$14/12)-(Plan!$D$14+IF(Plan!$E$14=$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H35" s="18">
        <f>IF(N(H34)&lt;=0,0,MAX(0,H34*(1+Plan!$C$15/12)-(Plan!$D$15+IF(Plan!$E$15=$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I35" s="18">
        <f>IF(N(I34)&lt;=0,0,MAX(0,I34*(1+Plan!$C$16/12)-(Plan!$D$16+IF(Plan!$E$16=$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J35" s="18">
        <f>IF(N(J34)&lt;=0,0,MAX(0,J34*(1+Plan!$C$17/12)-(Plan!$D$17+IF(Plan!$E$17=$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K35" s="18">
        <f>IF(N(K34)&lt;=0,0,MAX(0,K34*(1+Plan!$C$18/12)-(Plan!$D$18+IF(Plan!$E$18=$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c r="L35" s="19">
        <f>MIN(IF(N(B34)&gt;0,Plan!$E$9,999),IF(N(C34)&gt;0,Plan!$E$10,999),IF(N(D34)&gt;0,Plan!$E$11,999),IF(N(E34)&gt;0,Plan!$E$12,999),IF(N(F34)&gt;0,Plan!$E$13,999),IF(N(G34)&gt;0,Plan!$E$14,999),IF(N(H34)&gt;0,Plan!$E$15,999),IF(N(I34)&gt;0,Plan!$E$16,999),IF(N(J34)&gt;0,Plan!$E$17,999),IF(N(K34)&gt;0,Plan!$E$18,999))</f>
        <v/>
      </c>
      <c r="M35" s="18">
        <f>IF(N(B34)&lt;=0,0,MIN(B34*(1+Plan!$C$9/12),Plan!$D$9+IF(Plan!$E$9=$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IF(N(C34)&lt;=0,0,MIN(C34*(1+Plan!$C$10/12),Plan!$D$10+IF(Plan!$E$10=$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IF(N(D34)&lt;=0,0,MIN(D34*(1+Plan!$C$11/12),Plan!$D$11+IF(Plan!$E$11=$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IF(N(E34)&lt;=0,0,MIN(E34*(1+Plan!$C$12/12),Plan!$D$12+IF(Plan!$E$12=$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IF(N(F34)&lt;=0,0,MIN(F34*(1+Plan!$C$13/12),Plan!$D$13+IF(Plan!$E$13=$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IF(N(G34)&lt;=0,0,MIN(G34*(1+Plan!$C$14/12),Plan!$D$14+IF(Plan!$E$14=$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IF(N(H34)&lt;=0,0,MIN(H34*(1+Plan!$C$15/12),Plan!$D$15+IF(Plan!$E$15=$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IF(N(I34)&lt;=0,0,MIN(I34*(1+Plan!$C$16/12),Plan!$D$16+IF(Plan!$E$16=$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IF(N(J34)&lt;=0,0,MIN(J34*(1+Plan!$C$17/12),Plan!$D$17+IF(Plan!$E$17=$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IF(N(K34)&lt;=0,0,MIN(K34*(1+Plan!$C$18/12),Plan!$D$18+IF(Plan!$E$18=$L35,Plan!$B$5+IF(AND(N(Plan!$B$9)&gt;0,N(B34)&lt;=0),Plan!$D$9,0)+IF(AND(N(Plan!$B$10)&gt;0,N(C34)&lt;=0),Plan!$D$10,0)+IF(AND(N(Plan!$B$11)&gt;0,N(D34)&lt;=0),Plan!$D$11,0)+IF(AND(N(Plan!$B$12)&gt;0,N(E34)&lt;=0),Plan!$D$12,0)+IF(AND(N(Plan!$B$13)&gt;0,N(F34)&lt;=0),Plan!$D$13,0)+IF(AND(N(Plan!$B$14)&gt;0,N(G34)&lt;=0),Plan!$D$14,0)+IF(AND(N(Plan!$B$15)&gt;0,N(H34)&lt;=0),Plan!$D$15,0)+IF(AND(N(Plan!$B$16)&gt;0,N(I34)&lt;=0),Plan!$D$16,0)+IF(AND(N(Plan!$B$17)&gt;0,N(J34)&lt;=0),Plan!$D$17,0)+IF(AND(N(Plan!$B$18)&gt;0,N(K34)&lt;=0),Plan!$D$18,0),0)))</f>
        <v/>
      </c>
    </row>
    <row r="36">
      <c r="A36" s="17" t="n">
        <v>32</v>
      </c>
      <c r="B36" s="18">
        <f>IF(N(B35)&lt;=0,0,MAX(0,B35*(1+Plan!$C$9/12)-(Plan!$D$9+IF(Plan!$E$9=$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C36" s="18">
        <f>IF(N(C35)&lt;=0,0,MAX(0,C35*(1+Plan!$C$10/12)-(Plan!$D$10+IF(Plan!$E$10=$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D36" s="18">
        <f>IF(N(D35)&lt;=0,0,MAX(0,D35*(1+Plan!$C$11/12)-(Plan!$D$11+IF(Plan!$E$11=$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E36" s="18">
        <f>IF(N(E35)&lt;=0,0,MAX(0,E35*(1+Plan!$C$12/12)-(Plan!$D$12+IF(Plan!$E$12=$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F36" s="18">
        <f>IF(N(F35)&lt;=0,0,MAX(0,F35*(1+Plan!$C$13/12)-(Plan!$D$13+IF(Plan!$E$13=$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G36" s="18">
        <f>IF(N(G35)&lt;=0,0,MAX(0,G35*(1+Plan!$C$14/12)-(Plan!$D$14+IF(Plan!$E$14=$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H36" s="18">
        <f>IF(N(H35)&lt;=0,0,MAX(0,H35*(1+Plan!$C$15/12)-(Plan!$D$15+IF(Plan!$E$15=$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I36" s="18">
        <f>IF(N(I35)&lt;=0,0,MAX(0,I35*(1+Plan!$C$16/12)-(Plan!$D$16+IF(Plan!$E$16=$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J36" s="18">
        <f>IF(N(J35)&lt;=0,0,MAX(0,J35*(1+Plan!$C$17/12)-(Plan!$D$17+IF(Plan!$E$17=$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K36" s="18">
        <f>IF(N(K35)&lt;=0,0,MAX(0,K35*(1+Plan!$C$18/12)-(Plan!$D$18+IF(Plan!$E$18=$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c r="L36" s="19">
        <f>MIN(IF(N(B35)&gt;0,Plan!$E$9,999),IF(N(C35)&gt;0,Plan!$E$10,999),IF(N(D35)&gt;0,Plan!$E$11,999),IF(N(E35)&gt;0,Plan!$E$12,999),IF(N(F35)&gt;0,Plan!$E$13,999),IF(N(G35)&gt;0,Plan!$E$14,999),IF(N(H35)&gt;0,Plan!$E$15,999),IF(N(I35)&gt;0,Plan!$E$16,999),IF(N(J35)&gt;0,Plan!$E$17,999),IF(N(K35)&gt;0,Plan!$E$18,999))</f>
        <v/>
      </c>
      <c r="M36" s="18">
        <f>IF(N(B35)&lt;=0,0,MIN(B35*(1+Plan!$C$9/12),Plan!$D$9+IF(Plan!$E$9=$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IF(N(C35)&lt;=0,0,MIN(C35*(1+Plan!$C$10/12),Plan!$D$10+IF(Plan!$E$10=$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IF(N(D35)&lt;=0,0,MIN(D35*(1+Plan!$C$11/12),Plan!$D$11+IF(Plan!$E$11=$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IF(N(E35)&lt;=0,0,MIN(E35*(1+Plan!$C$12/12),Plan!$D$12+IF(Plan!$E$12=$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IF(N(F35)&lt;=0,0,MIN(F35*(1+Plan!$C$13/12),Plan!$D$13+IF(Plan!$E$13=$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IF(N(G35)&lt;=0,0,MIN(G35*(1+Plan!$C$14/12),Plan!$D$14+IF(Plan!$E$14=$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IF(N(H35)&lt;=0,0,MIN(H35*(1+Plan!$C$15/12),Plan!$D$15+IF(Plan!$E$15=$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IF(N(I35)&lt;=0,0,MIN(I35*(1+Plan!$C$16/12),Plan!$D$16+IF(Plan!$E$16=$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IF(N(J35)&lt;=0,0,MIN(J35*(1+Plan!$C$17/12),Plan!$D$17+IF(Plan!$E$17=$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IF(N(K35)&lt;=0,0,MIN(K35*(1+Plan!$C$18/12),Plan!$D$18+IF(Plan!$E$18=$L36,Plan!$B$5+IF(AND(N(Plan!$B$9)&gt;0,N(B35)&lt;=0),Plan!$D$9,0)+IF(AND(N(Plan!$B$10)&gt;0,N(C35)&lt;=0),Plan!$D$10,0)+IF(AND(N(Plan!$B$11)&gt;0,N(D35)&lt;=0),Plan!$D$11,0)+IF(AND(N(Plan!$B$12)&gt;0,N(E35)&lt;=0),Plan!$D$12,0)+IF(AND(N(Plan!$B$13)&gt;0,N(F35)&lt;=0),Plan!$D$13,0)+IF(AND(N(Plan!$B$14)&gt;0,N(G35)&lt;=0),Plan!$D$14,0)+IF(AND(N(Plan!$B$15)&gt;0,N(H35)&lt;=0),Plan!$D$15,0)+IF(AND(N(Plan!$B$16)&gt;0,N(I35)&lt;=0),Plan!$D$16,0)+IF(AND(N(Plan!$B$17)&gt;0,N(J35)&lt;=0),Plan!$D$17,0)+IF(AND(N(Plan!$B$18)&gt;0,N(K35)&lt;=0),Plan!$D$18,0),0)))</f>
        <v/>
      </c>
    </row>
    <row r="37">
      <c r="A37" s="17" t="n">
        <v>33</v>
      </c>
      <c r="B37" s="18">
        <f>IF(N(B36)&lt;=0,0,MAX(0,B36*(1+Plan!$C$9/12)-(Plan!$D$9+IF(Plan!$E$9=$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C37" s="18">
        <f>IF(N(C36)&lt;=0,0,MAX(0,C36*(1+Plan!$C$10/12)-(Plan!$D$10+IF(Plan!$E$10=$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D37" s="18">
        <f>IF(N(D36)&lt;=0,0,MAX(0,D36*(1+Plan!$C$11/12)-(Plan!$D$11+IF(Plan!$E$11=$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E37" s="18">
        <f>IF(N(E36)&lt;=0,0,MAX(0,E36*(1+Plan!$C$12/12)-(Plan!$D$12+IF(Plan!$E$12=$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F37" s="18">
        <f>IF(N(F36)&lt;=0,0,MAX(0,F36*(1+Plan!$C$13/12)-(Plan!$D$13+IF(Plan!$E$13=$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G37" s="18">
        <f>IF(N(G36)&lt;=0,0,MAX(0,G36*(1+Plan!$C$14/12)-(Plan!$D$14+IF(Plan!$E$14=$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H37" s="18">
        <f>IF(N(H36)&lt;=0,0,MAX(0,H36*(1+Plan!$C$15/12)-(Plan!$D$15+IF(Plan!$E$15=$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I37" s="18">
        <f>IF(N(I36)&lt;=0,0,MAX(0,I36*(1+Plan!$C$16/12)-(Plan!$D$16+IF(Plan!$E$16=$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J37" s="18">
        <f>IF(N(J36)&lt;=0,0,MAX(0,J36*(1+Plan!$C$17/12)-(Plan!$D$17+IF(Plan!$E$17=$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K37" s="18">
        <f>IF(N(K36)&lt;=0,0,MAX(0,K36*(1+Plan!$C$18/12)-(Plan!$D$18+IF(Plan!$E$18=$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c r="L37" s="19">
        <f>MIN(IF(N(B36)&gt;0,Plan!$E$9,999),IF(N(C36)&gt;0,Plan!$E$10,999),IF(N(D36)&gt;0,Plan!$E$11,999),IF(N(E36)&gt;0,Plan!$E$12,999),IF(N(F36)&gt;0,Plan!$E$13,999),IF(N(G36)&gt;0,Plan!$E$14,999),IF(N(H36)&gt;0,Plan!$E$15,999),IF(N(I36)&gt;0,Plan!$E$16,999),IF(N(J36)&gt;0,Plan!$E$17,999),IF(N(K36)&gt;0,Plan!$E$18,999))</f>
        <v/>
      </c>
      <c r="M37" s="18">
        <f>IF(N(B36)&lt;=0,0,MIN(B36*(1+Plan!$C$9/12),Plan!$D$9+IF(Plan!$E$9=$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IF(N(C36)&lt;=0,0,MIN(C36*(1+Plan!$C$10/12),Plan!$D$10+IF(Plan!$E$10=$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IF(N(D36)&lt;=0,0,MIN(D36*(1+Plan!$C$11/12),Plan!$D$11+IF(Plan!$E$11=$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IF(N(E36)&lt;=0,0,MIN(E36*(1+Plan!$C$12/12),Plan!$D$12+IF(Plan!$E$12=$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IF(N(F36)&lt;=0,0,MIN(F36*(1+Plan!$C$13/12),Plan!$D$13+IF(Plan!$E$13=$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IF(N(G36)&lt;=0,0,MIN(G36*(1+Plan!$C$14/12),Plan!$D$14+IF(Plan!$E$14=$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IF(N(H36)&lt;=0,0,MIN(H36*(1+Plan!$C$15/12),Plan!$D$15+IF(Plan!$E$15=$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IF(N(I36)&lt;=0,0,MIN(I36*(1+Plan!$C$16/12),Plan!$D$16+IF(Plan!$E$16=$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IF(N(J36)&lt;=0,0,MIN(J36*(1+Plan!$C$17/12),Plan!$D$17+IF(Plan!$E$17=$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IF(N(K36)&lt;=0,0,MIN(K36*(1+Plan!$C$18/12),Plan!$D$18+IF(Plan!$E$18=$L37,Plan!$B$5+IF(AND(N(Plan!$B$9)&gt;0,N(B36)&lt;=0),Plan!$D$9,0)+IF(AND(N(Plan!$B$10)&gt;0,N(C36)&lt;=0),Plan!$D$10,0)+IF(AND(N(Plan!$B$11)&gt;0,N(D36)&lt;=0),Plan!$D$11,0)+IF(AND(N(Plan!$B$12)&gt;0,N(E36)&lt;=0),Plan!$D$12,0)+IF(AND(N(Plan!$B$13)&gt;0,N(F36)&lt;=0),Plan!$D$13,0)+IF(AND(N(Plan!$B$14)&gt;0,N(G36)&lt;=0),Plan!$D$14,0)+IF(AND(N(Plan!$B$15)&gt;0,N(H36)&lt;=0),Plan!$D$15,0)+IF(AND(N(Plan!$B$16)&gt;0,N(I36)&lt;=0),Plan!$D$16,0)+IF(AND(N(Plan!$B$17)&gt;0,N(J36)&lt;=0),Plan!$D$17,0)+IF(AND(N(Plan!$B$18)&gt;0,N(K36)&lt;=0),Plan!$D$18,0),0)))</f>
        <v/>
      </c>
    </row>
    <row r="38">
      <c r="A38" s="17" t="n">
        <v>34</v>
      </c>
      <c r="B38" s="18">
        <f>IF(N(B37)&lt;=0,0,MAX(0,B37*(1+Plan!$C$9/12)-(Plan!$D$9+IF(Plan!$E$9=$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C38" s="18">
        <f>IF(N(C37)&lt;=0,0,MAX(0,C37*(1+Plan!$C$10/12)-(Plan!$D$10+IF(Plan!$E$10=$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D38" s="18">
        <f>IF(N(D37)&lt;=0,0,MAX(0,D37*(1+Plan!$C$11/12)-(Plan!$D$11+IF(Plan!$E$11=$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E38" s="18">
        <f>IF(N(E37)&lt;=0,0,MAX(0,E37*(1+Plan!$C$12/12)-(Plan!$D$12+IF(Plan!$E$12=$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F38" s="18">
        <f>IF(N(F37)&lt;=0,0,MAX(0,F37*(1+Plan!$C$13/12)-(Plan!$D$13+IF(Plan!$E$13=$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G38" s="18">
        <f>IF(N(G37)&lt;=0,0,MAX(0,G37*(1+Plan!$C$14/12)-(Plan!$D$14+IF(Plan!$E$14=$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H38" s="18">
        <f>IF(N(H37)&lt;=0,0,MAX(0,H37*(1+Plan!$C$15/12)-(Plan!$D$15+IF(Plan!$E$15=$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I38" s="18">
        <f>IF(N(I37)&lt;=0,0,MAX(0,I37*(1+Plan!$C$16/12)-(Plan!$D$16+IF(Plan!$E$16=$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J38" s="18">
        <f>IF(N(J37)&lt;=0,0,MAX(0,J37*(1+Plan!$C$17/12)-(Plan!$D$17+IF(Plan!$E$17=$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K38" s="18">
        <f>IF(N(K37)&lt;=0,0,MAX(0,K37*(1+Plan!$C$18/12)-(Plan!$D$18+IF(Plan!$E$18=$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c r="L38" s="19">
        <f>MIN(IF(N(B37)&gt;0,Plan!$E$9,999),IF(N(C37)&gt;0,Plan!$E$10,999),IF(N(D37)&gt;0,Plan!$E$11,999),IF(N(E37)&gt;0,Plan!$E$12,999),IF(N(F37)&gt;0,Plan!$E$13,999),IF(N(G37)&gt;0,Plan!$E$14,999),IF(N(H37)&gt;0,Plan!$E$15,999),IF(N(I37)&gt;0,Plan!$E$16,999),IF(N(J37)&gt;0,Plan!$E$17,999),IF(N(K37)&gt;0,Plan!$E$18,999))</f>
        <v/>
      </c>
      <c r="M38" s="18">
        <f>IF(N(B37)&lt;=0,0,MIN(B37*(1+Plan!$C$9/12),Plan!$D$9+IF(Plan!$E$9=$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IF(N(C37)&lt;=0,0,MIN(C37*(1+Plan!$C$10/12),Plan!$D$10+IF(Plan!$E$10=$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IF(N(D37)&lt;=0,0,MIN(D37*(1+Plan!$C$11/12),Plan!$D$11+IF(Plan!$E$11=$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IF(N(E37)&lt;=0,0,MIN(E37*(1+Plan!$C$12/12),Plan!$D$12+IF(Plan!$E$12=$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IF(N(F37)&lt;=0,0,MIN(F37*(1+Plan!$C$13/12),Plan!$D$13+IF(Plan!$E$13=$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IF(N(G37)&lt;=0,0,MIN(G37*(1+Plan!$C$14/12),Plan!$D$14+IF(Plan!$E$14=$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IF(N(H37)&lt;=0,0,MIN(H37*(1+Plan!$C$15/12),Plan!$D$15+IF(Plan!$E$15=$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IF(N(I37)&lt;=0,0,MIN(I37*(1+Plan!$C$16/12),Plan!$D$16+IF(Plan!$E$16=$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IF(N(J37)&lt;=0,0,MIN(J37*(1+Plan!$C$17/12),Plan!$D$17+IF(Plan!$E$17=$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IF(N(K37)&lt;=0,0,MIN(K37*(1+Plan!$C$18/12),Plan!$D$18+IF(Plan!$E$18=$L38,Plan!$B$5+IF(AND(N(Plan!$B$9)&gt;0,N(B37)&lt;=0),Plan!$D$9,0)+IF(AND(N(Plan!$B$10)&gt;0,N(C37)&lt;=0),Plan!$D$10,0)+IF(AND(N(Plan!$B$11)&gt;0,N(D37)&lt;=0),Plan!$D$11,0)+IF(AND(N(Plan!$B$12)&gt;0,N(E37)&lt;=0),Plan!$D$12,0)+IF(AND(N(Plan!$B$13)&gt;0,N(F37)&lt;=0),Plan!$D$13,0)+IF(AND(N(Plan!$B$14)&gt;0,N(G37)&lt;=0),Plan!$D$14,0)+IF(AND(N(Plan!$B$15)&gt;0,N(H37)&lt;=0),Plan!$D$15,0)+IF(AND(N(Plan!$B$16)&gt;0,N(I37)&lt;=0),Plan!$D$16,0)+IF(AND(N(Plan!$B$17)&gt;0,N(J37)&lt;=0),Plan!$D$17,0)+IF(AND(N(Plan!$B$18)&gt;0,N(K37)&lt;=0),Plan!$D$18,0),0)))</f>
        <v/>
      </c>
    </row>
    <row r="39">
      <c r="A39" s="17" t="n">
        <v>35</v>
      </c>
      <c r="B39" s="18">
        <f>IF(N(B38)&lt;=0,0,MAX(0,B38*(1+Plan!$C$9/12)-(Plan!$D$9+IF(Plan!$E$9=$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C39" s="18">
        <f>IF(N(C38)&lt;=0,0,MAX(0,C38*(1+Plan!$C$10/12)-(Plan!$D$10+IF(Plan!$E$10=$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D39" s="18">
        <f>IF(N(D38)&lt;=0,0,MAX(0,D38*(1+Plan!$C$11/12)-(Plan!$D$11+IF(Plan!$E$11=$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E39" s="18">
        <f>IF(N(E38)&lt;=0,0,MAX(0,E38*(1+Plan!$C$12/12)-(Plan!$D$12+IF(Plan!$E$12=$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F39" s="18">
        <f>IF(N(F38)&lt;=0,0,MAX(0,F38*(1+Plan!$C$13/12)-(Plan!$D$13+IF(Plan!$E$13=$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G39" s="18">
        <f>IF(N(G38)&lt;=0,0,MAX(0,G38*(1+Plan!$C$14/12)-(Plan!$D$14+IF(Plan!$E$14=$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H39" s="18">
        <f>IF(N(H38)&lt;=0,0,MAX(0,H38*(1+Plan!$C$15/12)-(Plan!$D$15+IF(Plan!$E$15=$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I39" s="18">
        <f>IF(N(I38)&lt;=0,0,MAX(0,I38*(1+Plan!$C$16/12)-(Plan!$D$16+IF(Plan!$E$16=$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J39" s="18">
        <f>IF(N(J38)&lt;=0,0,MAX(0,J38*(1+Plan!$C$17/12)-(Plan!$D$17+IF(Plan!$E$17=$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K39" s="18">
        <f>IF(N(K38)&lt;=0,0,MAX(0,K38*(1+Plan!$C$18/12)-(Plan!$D$18+IF(Plan!$E$18=$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c r="L39" s="19">
        <f>MIN(IF(N(B38)&gt;0,Plan!$E$9,999),IF(N(C38)&gt;0,Plan!$E$10,999),IF(N(D38)&gt;0,Plan!$E$11,999),IF(N(E38)&gt;0,Plan!$E$12,999),IF(N(F38)&gt;0,Plan!$E$13,999),IF(N(G38)&gt;0,Plan!$E$14,999),IF(N(H38)&gt;0,Plan!$E$15,999),IF(N(I38)&gt;0,Plan!$E$16,999),IF(N(J38)&gt;0,Plan!$E$17,999),IF(N(K38)&gt;0,Plan!$E$18,999))</f>
        <v/>
      </c>
      <c r="M39" s="18">
        <f>IF(N(B38)&lt;=0,0,MIN(B38*(1+Plan!$C$9/12),Plan!$D$9+IF(Plan!$E$9=$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IF(N(C38)&lt;=0,0,MIN(C38*(1+Plan!$C$10/12),Plan!$D$10+IF(Plan!$E$10=$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IF(N(D38)&lt;=0,0,MIN(D38*(1+Plan!$C$11/12),Plan!$D$11+IF(Plan!$E$11=$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IF(N(E38)&lt;=0,0,MIN(E38*(1+Plan!$C$12/12),Plan!$D$12+IF(Plan!$E$12=$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IF(N(F38)&lt;=0,0,MIN(F38*(1+Plan!$C$13/12),Plan!$D$13+IF(Plan!$E$13=$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IF(N(G38)&lt;=0,0,MIN(G38*(1+Plan!$C$14/12),Plan!$D$14+IF(Plan!$E$14=$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IF(N(H38)&lt;=0,0,MIN(H38*(1+Plan!$C$15/12),Plan!$D$15+IF(Plan!$E$15=$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IF(N(I38)&lt;=0,0,MIN(I38*(1+Plan!$C$16/12),Plan!$D$16+IF(Plan!$E$16=$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IF(N(J38)&lt;=0,0,MIN(J38*(1+Plan!$C$17/12),Plan!$D$17+IF(Plan!$E$17=$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IF(N(K38)&lt;=0,0,MIN(K38*(1+Plan!$C$18/12),Plan!$D$18+IF(Plan!$E$18=$L39,Plan!$B$5+IF(AND(N(Plan!$B$9)&gt;0,N(B38)&lt;=0),Plan!$D$9,0)+IF(AND(N(Plan!$B$10)&gt;0,N(C38)&lt;=0),Plan!$D$10,0)+IF(AND(N(Plan!$B$11)&gt;0,N(D38)&lt;=0),Plan!$D$11,0)+IF(AND(N(Plan!$B$12)&gt;0,N(E38)&lt;=0),Plan!$D$12,0)+IF(AND(N(Plan!$B$13)&gt;0,N(F38)&lt;=0),Plan!$D$13,0)+IF(AND(N(Plan!$B$14)&gt;0,N(G38)&lt;=0),Plan!$D$14,0)+IF(AND(N(Plan!$B$15)&gt;0,N(H38)&lt;=0),Plan!$D$15,0)+IF(AND(N(Plan!$B$16)&gt;0,N(I38)&lt;=0),Plan!$D$16,0)+IF(AND(N(Plan!$B$17)&gt;0,N(J38)&lt;=0),Plan!$D$17,0)+IF(AND(N(Plan!$B$18)&gt;0,N(K38)&lt;=0),Plan!$D$18,0),0)))</f>
        <v/>
      </c>
    </row>
    <row r="40">
      <c r="A40" s="17" t="n">
        <v>36</v>
      </c>
      <c r="B40" s="18">
        <f>IF(N(B39)&lt;=0,0,MAX(0,B39*(1+Plan!$C$9/12)-(Plan!$D$9+IF(Plan!$E$9=$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C40" s="18">
        <f>IF(N(C39)&lt;=0,0,MAX(0,C39*(1+Plan!$C$10/12)-(Plan!$D$10+IF(Plan!$E$10=$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D40" s="18">
        <f>IF(N(D39)&lt;=0,0,MAX(0,D39*(1+Plan!$C$11/12)-(Plan!$D$11+IF(Plan!$E$11=$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E40" s="18">
        <f>IF(N(E39)&lt;=0,0,MAX(0,E39*(1+Plan!$C$12/12)-(Plan!$D$12+IF(Plan!$E$12=$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F40" s="18">
        <f>IF(N(F39)&lt;=0,0,MAX(0,F39*(1+Plan!$C$13/12)-(Plan!$D$13+IF(Plan!$E$13=$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G40" s="18">
        <f>IF(N(G39)&lt;=0,0,MAX(0,G39*(1+Plan!$C$14/12)-(Plan!$D$14+IF(Plan!$E$14=$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H40" s="18">
        <f>IF(N(H39)&lt;=0,0,MAX(0,H39*(1+Plan!$C$15/12)-(Plan!$D$15+IF(Plan!$E$15=$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I40" s="18">
        <f>IF(N(I39)&lt;=0,0,MAX(0,I39*(1+Plan!$C$16/12)-(Plan!$D$16+IF(Plan!$E$16=$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J40" s="18">
        <f>IF(N(J39)&lt;=0,0,MAX(0,J39*(1+Plan!$C$17/12)-(Plan!$D$17+IF(Plan!$E$17=$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K40" s="18">
        <f>IF(N(K39)&lt;=0,0,MAX(0,K39*(1+Plan!$C$18/12)-(Plan!$D$18+IF(Plan!$E$18=$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c r="L40" s="19">
        <f>MIN(IF(N(B39)&gt;0,Plan!$E$9,999),IF(N(C39)&gt;0,Plan!$E$10,999),IF(N(D39)&gt;0,Plan!$E$11,999),IF(N(E39)&gt;0,Plan!$E$12,999),IF(N(F39)&gt;0,Plan!$E$13,999),IF(N(G39)&gt;0,Plan!$E$14,999),IF(N(H39)&gt;0,Plan!$E$15,999),IF(N(I39)&gt;0,Plan!$E$16,999),IF(N(J39)&gt;0,Plan!$E$17,999),IF(N(K39)&gt;0,Plan!$E$18,999))</f>
        <v/>
      </c>
      <c r="M40" s="18">
        <f>IF(N(B39)&lt;=0,0,MIN(B39*(1+Plan!$C$9/12),Plan!$D$9+IF(Plan!$E$9=$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IF(N(C39)&lt;=0,0,MIN(C39*(1+Plan!$C$10/12),Plan!$D$10+IF(Plan!$E$10=$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IF(N(D39)&lt;=0,0,MIN(D39*(1+Plan!$C$11/12),Plan!$D$11+IF(Plan!$E$11=$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IF(N(E39)&lt;=0,0,MIN(E39*(1+Plan!$C$12/12),Plan!$D$12+IF(Plan!$E$12=$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IF(N(F39)&lt;=0,0,MIN(F39*(1+Plan!$C$13/12),Plan!$D$13+IF(Plan!$E$13=$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IF(N(G39)&lt;=0,0,MIN(G39*(1+Plan!$C$14/12),Plan!$D$14+IF(Plan!$E$14=$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IF(N(H39)&lt;=0,0,MIN(H39*(1+Plan!$C$15/12),Plan!$D$15+IF(Plan!$E$15=$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IF(N(I39)&lt;=0,0,MIN(I39*(1+Plan!$C$16/12),Plan!$D$16+IF(Plan!$E$16=$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IF(N(J39)&lt;=0,0,MIN(J39*(1+Plan!$C$17/12),Plan!$D$17+IF(Plan!$E$17=$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IF(N(K39)&lt;=0,0,MIN(K39*(1+Plan!$C$18/12),Plan!$D$18+IF(Plan!$E$18=$L40,Plan!$B$5+IF(AND(N(Plan!$B$9)&gt;0,N(B39)&lt;=0),Plan!$D$9,0)+IF(AND(N(Plan!$B$10)&gt;0,N(C39)&lt;=0),Plan!$D$10,0)+IF(AND(N(Plan!$B$11)&gt;0,N(D39)&lt;=0),Plan!$D$11,0)+IF(AND(N(Plan!$B$12)&gt;0,N(E39)&lt;=0),Plan!$D$12,0)+IF(AND(N(Plan!$B$13)&gt;0,N(F39)&lt;=0),Plan!$D$13,0)+IF(AND(N(Plan!$B$14)&gt;0,N(G39)&lt;=0),Plan!$D$14,0)+IF(AND(N(Plan!$B$15)&gt;0,N(H39)&lt;=0),Plan!$D$15,0)+IF(AND(N(Plan!$B$16)&gt;0,N(I39)&lt;=0),Plan!$D$16,0)+IF(AND(N(Plan!$B$17)&gt;0,N(J39)&lt;=0),Plan!$D$17,0)+IF(AND(N(Plan!$B$18)&gt;0,N(K39)&lt;=0),Plan!$D$18,0),0)))</f>
        <v/>
      </c>
    </row>
    <row r="41">
      <c r="A41" s="17" t="n">
        <v>37</v>
      </c>
      <c r="B41" s="18">
        <f>IF(N(B40)&lt;=0,0,MAX(0,B40*(1+Plan!$C$9/12)-(Plan!$D$9+IF(Plan!$E$9=$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C41" s="18">
        <f>IF(N(C40)&lt;=0,0,MAX(0,C40*(1+Plan!$C$10/12)-(Plan!$D$10+IF(Plan!$E$10=$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D41" s="18">
        <f>IF(N(D40)&lt;=0,0,MAX(0,D40*(1+Plan!$C$11/12)-(Plan!$D$11+IF(Plan!$E$11=$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E41" s="18">
        <f>IF(N(E40)&lt;=0,0,MAX(0,E40*(1+Plan!$C$12/12)-(Plan!$D$12+IF(Plan!$E$12=$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F41" s="18">
        <f>IF(N(F40)&lt;=0,0,MAX(0,F40*(1+Plan!$C$13/12)-(Plan!$D$13+IF(Plan!$E$13=$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G41" s="18">
        <f>IF(N(G40)&lt;=0,0,MAX(0,G40*(1+Plan!$C$14/12)-(Plan!$D$14+IF(Plan!$E$14=$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H41" s="18">
        <f>IF(N(H40)&lt;=0,0,MAX(0,H40*(1+Plan!$C$15/12)-(Plan!$D$15+IF(Plan!$E$15=$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I41" s="18">
        <f>IF(N(I40)&lt;=0,0,MAX(0,I40*(1+Plan!$C$16/12)-(Plan!$D$16+IF(Plan!$E$16=$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J41" s="18">
        <f>IF(N(J40)&lt;=0,0,MAX(0,J40*(1+Plan!$C$17/12)-(Plan!$D$17+IF(Plan!$E$17=$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K41" s="18">
        <f>IF(N(K40)&lt;=0,0,MAX(0,K40*(1+Plan!$C$18/12)-(Plan!$D$18+IF(Plan!$E$18=$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c r="L41" s="19">
        <f>MIN(IF(N(B40)&gt;0,Plan!$E$9,999),IF(N(C40)&gt;0,Plan!$E$10,999),IF(N(D40)&gt;0,Plan!$E$11,999),IF(N(E40)&gt;0,Plan!$E$12,999),IF(N(F40)&gt;0,Plan!$E$13,999),IF(N(G40)&gt;0,Plan!$E$14,999),IF(N(H40)&gt;0,Plan!$E$15,999),IF(N(I40)&gt;0,Plan!$E$16,999),IF(N(J40)&gt;0,Plan!$E$17,999),IF(N(K40)&gt;0,Plan!$E$18,999))</f>
        <v/>
      </c>
      <c r="M41" s="18">
        <f>IF(N(B40)&lt;=0,0,MIN(B40*(1+Plan!$C$9/12),Plan!$D$9+IF(Plan!$E$9=$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IF(N(C40)&lt;=0,0,MIN(C40*(1+Plan!$C$10/12),Plan!$D$10+IF(Plan!$E$10=$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IF(N(D40)&lt;=0,0,MIN(D40*(1+Plan!$C$11/12),Plan!$D$11+IF(Plan!$E$11=$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IF(N(E40)&lt;=0,0,MIN(E40*(1+Plan!$C$12/12),Plan!$D$12+IF(Plan!$E$12=$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IF(N(F40)&lt;=0,0,MIN(F40*(1+Plan!$C$13/12),Plan!$D$13+IF(Plan!$E$13=$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IF(N(G40)&lt;=0,0,MIN(G40*(1+Plan!$C$14/12),Plan!$D$14+IF(Plan!$E$14=$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IF(N(H40)&lt;=0,0,MIN(H40*(1+Plan!$C$15/12),Plan!$D$15+IF(Plan!$E$15=$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IF(N(I40)&lt;=0,0,MIN(I40*(1+Plan!$C$16/12),Plan!$D$16+IF(Plan!$E$16=$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IF(N(J40)&lt;=0,0,MIN(J40*(1+Plan!$C$17/12),Plan!$D$17+IF(Plan!$E$17=$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IF(N(K40)&lt;=0,0,MIN(K40*(1+Plan!$C$18/12),Plan!$D$18+IF(Plan!$E$18=$L41,Plan!$B$5+IF(AND(N(Plan!$B$9)&gt;0,N(B40)&lt;=0),Plan!$D$9,0)+IF(AND(N(Plan!$B$10)&gt;0,N(C40)&lt;=0),Plan!$D$10,0)+IF(AND(N(Plan!$B$11)&gt;0,N(D40)&lt;=0),Plan!$D$11,0)+IF(AND(N(Plan!$B$12)&gt;0,N(E40)&lt;=0),Plan!$D$12,0)+IF(AND(N(Plan!$B$13)&gt;0,N(F40)&lt;=0),Plan!$D$13,0)+IF(AND(N(Plan!$B$14)&gt;0,N(G40)&lt;=0),Plan!$D$14,0)+IF(AND(N(Plan!$B$15)&gt;0,N(H40)&lt;=0),Plan!$D$15,0)+IF(AND(N(Plan!$B$16)&gt;0,N(I40)&lt;=0),Plan!$D$16,0)+IF(AND(N(Plan!$B$17)&gt;0,N(J40)&lt;=0),Plan!$D$17,0)+IF(AND(N(Plan!$B$18)&gt;0,N(K40)&lt;=0),Plan!$D$18,0),0)))</f>
        <v/>
      </c>
    </row>
    <row r="42">
      <c r="A42" s="17" t="n">
        <v>38</v>
      </c>
      <c r="B42" s="18">
        <f>IF(N(B41)&lt;=0,0,MAX(0,B41*(1+Plan!$C$9/12)-(Plan!$D$9+IF(Plan!$E$9=$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C42" s="18">
        <f>IF(N(C41)&lt;=0,0,MAX(0,C41*(1+Plan!$C$10/12)-(Plan!$D$10+IF(Plan!$E$10=$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D42" s="18">
        <f>IF(N(D41)&lt;=0,0,MAX(0,D41*(1+Plan!$C$11/12)-(Plan!$D$11+IF(Plan!$E$11=$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E42" s="18">
        <f>IF(N(E41)&lt;=0,0,MAX(0,E41*(1+Plan!$C$12/12)-(Plan!$D$12+IF(Plan!$E$12=$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F42" s="18">
        <f>IF(N(F41)&lt;=0,0,MAX(0,F41*(1+Plan!$C$13/12)-(Plan!$D$13+IF(Plan!$E$13=$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G42" s="18">
        <f>IF(N(G41)&lt;=0,0,MAX(0,G41*(1+Plan!$C$14/12)-(Plan!$D$14+IF(Plan!$E$14=$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H42" s="18">
        <f>IF(N(H41)&lt;=0,0,MAX(0,H41*(1+Plan!$C$15/12)-(Plan!$D$15+IF(Plan!$E$15=$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I42" s="18">
        <f>IF(N(I41)&lt;=0,0,MAX(0,I41*(1+Plan!$C$16/12)-(Plan!$D$16+IF(Plan!$E$16=$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J42" s="18">
        <f>IF(N(J41)&lt;=0,0,MAX(0,J41*(1+Plan!$C$17/12)-(Plan!$D$17+IF(Plan!$E$17=$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K42" s="18">
        <f>IF(N(K41)&lt;=0,0,MAX(0,K41*(1+Plan!$C$18/12)-(Plan!$D$18+IF(Plan!$E$18=$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c r="L42" s="19">
        <f>MIN(IF(N(B41)&gt;0,Plan!$E$9,999),IF(N(C41)&gt;0,Plan!$E$10,999),IF(N(D41)&gt;0,Plan!$E$11,999),IF(N(E41)&gt;0,Plan!$E$12,999),IF(N(F41)&gt;0,Plan!$E$13,999),IF(N(G41)&gt;0,Plan!$E$14,999),IF(N(H41)&gt;0,Plan!$E$15,999),IF(N(I41)&gt;0,Plan!$E$16,999),IF(N(J41)&gt;0,Plan!$E$17,999),IF(N(K41)&gt;0,Plan!$E$18,999))</f>
        <v/>
      </c>
      <c r="M42" s="18">
        <f>IF(N(B41)&lt;=0,0,MIN(B41*(1+Plan!$C$9/12),Plan!$D$9+IF(Plan!$E$9=$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IF(N(C41)&lt;=0,0,MIN(C41*(1+Plan!$C$10/12),Plan!$D$10+IF(Plan!$E$10=$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IF(N(D41)&lt;=0,0,MIN(D41*(1+Plan!$C$11/12),Plan!$D$11+IF(Plan!$E$11=$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IF(N(E41)&lt;=0,0,MIN(E41*(1+Plan!$C$12/12),Plan!$D$12+IF(Plan!$E$12=$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IF(N(F41)&lt;=0,0,MIN(F41*(1+Plan!$C$13/12),Plan!$D$13+IF(Plan!$E$13=$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IF(N(G41)&lt;=0,0,MIN(G41*(1+Plan!$C$14/12),Plan!$D$14+IF(Plan!$E$14=$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IF(N(H41)&lt;=0,0,MIN(H41*(1+Plan!$C$15/12),Plan!$D$15+IF(Plan!$E$15=$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IF(N(I41)&lt;=0,0,MIN(I41*(1+Plan!$C$16/12),Plan!$D$16+IF(Plan!$E$16=$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IF(N(J41)&lt;=0,0,MIN(J41*(1+Plan!$C$17/12),Plan!$D$17+IF(Plan!$E$17=$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IF(N(K41)&lt;=0,0,MIN(K41*(1+Plan!$C$18/12),Plan!$D$18+IF(Plan!$E$18=$L42,Plan!$B$5+IF(AND(N(Plan!$B$9)&gt;0,N(B41)&lt;=0),Plan!$D$9,0)+IF(AND(N(Plan!$B$10)&gt;0,N(C41)&lt;=0),Plan!$D$10,0)+IF(AND(N(Plan!$B$11)&gt;0,N(D41)&lt;=0),Plan!$D$11,0)+IF(AND(N(Plan!$B$12)&gt;0,N(E41)&lt;=0),Plan!$D$12,0)+IF(AND(N(Plan!$B$13)&gt;0,N(F41)&lt;=0),Plan!$D$13,0)+IF(AND(N(Plan!$B$14)&gt;0,N(G41)&lt;=0),Plan!$D$14,0)+IF(AND(N(Plan!$B$15)&gt;0,N(H41)&lt;=0),Plan!$D$15,0)+IF(AND(N(Plan!$B$16)&gt;0,N(I41)&lt;=0),Plan!$D$16,0)+IF(AND(N(Plan!$B$17)&gt;0,N(J41)&lt;=0),Plan!$D$17,0)+IF(AND(N(Plan!$B$18)&gt;0,N(K41)&lt;=0),Plan!$D$18,0),0)))</f>
        <v/>
      </c>
    </row>
    <row r="43">
      <c r="A43" s="17" t="n">
        <v>39</v>
      </c>
      <c r="B43" s="18">
        <f>IF(N(B42)&lt;=0,0,MAX(0,B42*(1+Plan!$C$9/12)-(Plan!$D$9+IF(Plan!$E$9=$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C43" s="18">
        <f>IF(N(C42)&lt;=0,0,MAX(0,C42*(1+Plan!$C$10/12)-(Plan!$D$10+IF(Plan!$E$10=$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D43" s="18">
        <f>IF(N(D42)&lt;=0,0,MAX(0,D42*(1+Plan!$C$11/12)-(Plan!$D$11+IF(Plan!$E$11=$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E43" s="18">
        <f>IF(N(E42)&lt;=0,0,MAX(0,E42*(1+Plan!$C$12/12)-(Plan!$D$12+IF(Plan!$E$12=$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F43" s="18">
        <f>IF(N(F42)&lt;=0,0,MAX(0,F42*(1+Plan!$C$13/12)-(Plan!$D$13+IF(Plan!$E$13=$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G43" s="18">
        <f>IF(N(G42)&lt;=0,0,MAX(0,G42*(1+Plan!$C$14/12)-(Plan!$D$14+IF(Plan!$E$14=$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H43" s="18">
        <f>IF(N(H42)&lt;=0,0,MAX(0,H42*(1+Plan!$C$15/12)-(Plan!$D$15+IF(Plan!$E$15=$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I43" s="18">
        <f>IF(N(I42)&lt;=0,0,MAX(0,I42*(1+Plan!$C$16/12)-(Plan!$D$16+IF(Plan!$E$16=$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J43" s="18">
        <f>IF(N(J42)&lt;=0,0,MAX(0,J42*(1+Plan!$C$17/12)-(Plan!$D$17+IF(Plan!$E$17=$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K43" s="18">
        <f>IF(N(K42)&lt;=0,0,MAX(0,K42*(1+Plan!$C$18/12)-(Plan!$D$18+IF(Plan!$E$18=$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c r="L43" s="19">
        <f>MIN(IF(N(B42)&gt;0,Plan!$E$9,999),IF(N(C42)&gt;0,Plan!$E$10,999),IF(N(D42)&gt;0,Plan!$E$11,999),IF(N(E42)&gt;0,Plan!$E$12,999),IF(N(F42)&gt;0,Plan!$E$13,999),IF(N(G42)&gt;0,Plan!$E$14,999),IF(N(H42)&gt;0,Plan!$E$15,999),IF(N(I42)&gt;0,Plan!$E$16,999),IF(N(J42)&gt;0,Plan!$E$17,999),IF(N(K42)&gt;0,Plan!$E$18,999))</f>
        <v/>
      </c>
      <c r="M43" s="18">
        <f>IF(N(B42)&lt;=0,0,MIN(B42*(1+Plan!$C$9/12),Plan!$D$9+IF(Plan!$E$9=$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IF(N(C42)&lt;=0,0,MIN(C42*(1+Plan!$C$10/12),Plan!$D$10+IF(Plan!$E$10=$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IF(N(D42)&lt;=0,0,MIN(D42*(1+Plan!$C$11/12),Plan!$D$11+IF(Plan!$E$11=$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IF(N(E42)&lt;=0,0,MIN(E42*(1+Plan!$C$12/12),Plan!$D$12+IF(Plan!$E$12=$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IF(N(F42)&lt;=0,0,MIN(F42*(1+Plan!$C$13/12),Plan!$D$13+IF(Plan!$E$13=$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IF(N(G42)&lt;=0,0,MIN(G42*(1+Plan!$C$14/12),Plan!$D$14+IF(Plan!$E$14=$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IF(N(H42)&lt;=0,0,MIN(H42*(1+Plan!$C$15/12),Plan!$D$15+IF(Plan!$E$15=$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IF(N(I42)&lt;=0,0,MIN(I42*(1+Plan!$C$16/12),Plan!$D$16+IF(Plan!$E$16=$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IF(N(J42)&lt;=0,0,MIN(J42*(1+Plan!$C$17/12),Plan!$D$17+IF(Plan!$E$17=$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IF(N(K42)&lt;=0,0,MIN(K42*(1+Plan!$C$18/12),Plan!$D$18+IF(Plan!$E$18=$L43,Plan!$B$5+IF(AND(N(Plan!$B$9)&gt;0,N(B42)&lt;=0),Plan!$D$9,0)+IF(AND(N(Plan!$B$10)&gt;0,N(C42)&lt;=0),Plan!$D$10,0)+IF(AND(N(Plan!$B$11)&gt;0,N(D42)&lt;=0),Plan!$D$11,0)+IF(AND(N(Plan!$B$12)&gt;0,N(E42)&lt;=0),Plan!$D$12,0)+IF(AND(N(Plan!$B$13)&gt;0,N(F42)&lt;=0),Plan!$D$13,0)+IF(AND(N(Plan!$B$14)&gt;0,N(G42)&lt;=0),Plan!$D$14,0)+IF(AND(N(Plan!$B$15)&gt;0,N(H42)&lt;=0),Plan!$D$15,0)+IF(AND(N(Plan!$B$16)&gt;0,N(I42)&lt;=0),Plan!$D$16,0)+IF(AND(N(Plan!$B$17)&gt;0,N(J42)&lt;=0),Plan!$D$17,0)+IF(AND(N(Plan!$B$18)&gt;0,N(K42)&lt;=0),Plan!$D$18,0),0)))</f>
        <v/>
      </c>
    </row>
    <row r="44">
      <c r="A44" s="17" t="n">
        <v>40</v>
      </c>
      <c r="B44" s="18">
        <f>IF(N(B43)&lt;=0,0,MAX(0,B43*(1+Plan!$C$9/12)-(Plan!$D$9+IF(Plan!$E$9=$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C44" s="18">
        <f>IF(N(C43)&lt;=0,0,MAX(0,C43*(1+Plan!$C$10/12)-(Plan!$D$10+IF(Plan!$E$10=$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D44" s="18">
        <f>IF(N(D43)&lt;=0,0,MAX(0,D43*(1+Plan!$C$11/12)-(Plan!$D$11+IF(Plan!$E$11=$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E44" s="18">
        <f>IF(N(E43)&lt;=0,0,MAX(0,E43*(1+Plan!$C$12/12)-(Plan!$D$12+IF(Plan!$E$12=$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F44" s="18">
        <f>IF(N(F43)&lt;=0,0,MAX(0,F43*(1+Plan!$C$13/12)-(Plan!$D$13+IF(Plan!$E$13=$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G44" s="18">
        <f>IF(N(G43)&lt;=0,0,MAX(0,G43*(1+Plan!$C$14/12)-(Plan!$D$14+IF(Plan!$E$14=$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H44" s="18">
        <f>IF(N(H43)&lt;=0,0,MAX(0,H43*(1+Plan!$C$15/12)-(Plan!$D$15+IF(Plan!$E$15=$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I44" s="18">
        <f>IF(N(I43)&lt;=0,0,MAX(0,I43*(1+Plan!$C$16/12)-(Plan!$D$16+IF(Plan!$E$16=$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J44" s="18">
        <f>IF(N(J43)&lt;=0,0,MAX(0,J43*(1+Plan!$C$17/12)-(Plan!$D$17+IF(Plan!$E$17=$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K44" s="18">
        <f>IF(N(K43)&lt;=0,0,MAX(0,K43*(1+Plan!$C$18/12)-(Plan!$D$18+IF(Plan!$E$18=$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c r="L44" s="19">
        <f>MIN(IF(N(B43)&gt;0,Plan!$E$9,999),IF(N(C43)&gt;0,Plan!$E$10,999),IF(N(D43)&gt;0,Plan!$E$11,999),IF(N(E43)&gt;0,Plan!$E$12,999),IF(N(F43)&gt;0,Plan!$E$13,999),IF(N(G43)&gt;0,Plan!$E$14,999),IF(N(H43)&gt;0,Plan!$E$15,999),IF(N(I43)&gt;0,Plan!$E$16,999),IF(N(J43)&gt;0,Plan!$E$17,999),IF(N(K43)&gt;0,Plan!$E$18,999))</f>
        <v/>
      </c>
      <c r="M44" s="18">
        <f>IF(N(B43)&lt;=0,0,MIN(B43*(1+Plan!$C$9/12),Plan!$D$9+IF(Plan!$E$9=$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IF(N(C43)&lt;=0,0,MIN(C43*(1+Plan!$C$10/12),Plan!$D$10+IF(Plan!$E$10=$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IF(N(D43)&lt;=0,0,MIN(D43*(1+Plan!$C$11/12),Plan!$D$11+IF(Plan!$E$11=$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IF(N(E43)&lt;=0,0,MIN(E43*(1+Plan!$C$12/12),Plan!$D$12+IF(Plan!$E$12=$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IF(N(F43)&lt;=0,0,MIN(F43*(1+Plan!$C$13/12),Plan!$D$13+IF(Plan!$E$13=$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IF(N(G43)&lt;=0,0,MIN(G43*(1+Plan!$C$14/12),Plan!$D$14+IF(Plan!$E$14=$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IF(N(H43)&lt;=0,0,MIN(H43*(1+Plan!$C$15/12),Plan!$D$15+IF(Plan!$E$15=$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IF(N(I43)&lt;=0,0,MIN(I43*(1+Plan!$C$16/12),Plan!$D$16+IF(Plan!$E$16=$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IF(N(J43)&lt;=0,0,MIN(J43*(1+Plan!$C$17/12),Plan!$D$17+IF(Plan!$E$17=$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IF(N(K43)&lt;=0,0,MIN(K43*(1+Plan!$C$18/12),Plan!$D$18+IF(Plan!$E$18=$L44,Plan!$B$5+IF(AND(N(Plan!$B$9)&gt;0,N(B43)&lt;=0),Plan!$D$9,0)+IF(AND(N(Plan!$B$10)&gt;0,N(C43)&lt;=0),Plan!$D$10,0)+IF(AND(N(Plan!$B$11)&gt;0,N(D43)&lt;=0),Plan!$D$11,0)+IF(AND(N(Plan!$B$12)&gt;0,N(E43)&lt;=0),Plan!$D$12,0)+IF(AND(N(Plan!$B$13)&gt;0,N(F43)&lt;=0),Plan!$D$13,0)+IF(AND(N(Plan!$B$14)&gt;0,N(G43)&lt;=0),Plan!$D$14,0)+IF(AND(N(Plan!$B$15)&gt;0,N(H43)&lt;=0),Plan!$D$15,0)+IF(AND(N(Plan!$B$16)&gt;0,N(I43)&lt;=0),Plan!$D$16,0)+IF(AND(N(Plan!$B$17)&gt;0,N(J43)&lt;=0),Plan!$D$17,0)+IF(AND(N(Plan!$B$18)&gt;0,N(K43)&lt;=0),Plan!$D$18,0),0)))</f>
        <v/>
      </c>
    </row>
    <row r="45">
      <c r="A45" s="17" t="n">
        <v>41</v>
      </c>
      <c r="B45" s="18">
        <f>IF(N(B44)&lt;=0,0,MAX(0,B44*(1+Plan!$C$9/12)-(Plan!$D$9+IF(Plan!$E$9=$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C45" s="18">
        <f>IF(N(C44)&lt;=0,0,MAX(0,C44*(1+Plan!$C$10/12)-(Plan!$D$10+IF(Plan!$E$10=$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D45" s="18">
        <f>IF(N(D44)&lt;=0,0,MAX(0,D44*(1+Plan!$C$11/12)-(Plan!$D$11+IF(Plan!$E$11=$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E45" s="18">
        <f>IF(N(E44)&lt;=0,0,MAX(0,E44*(1+Plan!$C$12/12)-(Plan!$D$12+IF(Plan!$E$12=$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F45" s="18">
        <f>IF(N(F44)&lt;=0,0,MAX(0,F44*(1+Plan!$C$13/12)-(Plan!$D$13+IF(Plan!$E$13=$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G45" s="18">
        <f>IF(N(G44)&lt;=0,0,MAX(0,G44*(1+Plan!$C$14/12)-(Plan!$D$14+IF(Plan!$E$14=$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H45" s="18">
        <f>IF(N(H44)&lt;=0,0,MAX(0,H44*(1+Plan!$C$15/12)-(Plan!$D$15+IF(Plan!$E$15=$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I45" s="18">
        <f>IF(N(I44)&lt;=0,0,MAX(0,I44*(1+Plan!$C$16/12)-(Plan!$D$16+IF(Plan!$E$16=$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J45" s="18">
        <f>IF(N(J44)&lt;=0,0,MAX(0,J44*(1+Plan!$C$17/12)-(Plan!$D$17+IF(Plan!$E$17=$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K45" s="18">
        <f>IF(N(K44)&lt;=0,0,MAX(0,K44*(1+Plan!$C$18/12)-(Plan!$D$18+IF(Plan!$E$18=$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c r="L45" s="19">
        <f>MIN(IF(N(B44)&gt;0,Plan!$E$9,999),IF(N(C44)&gt;0,Plan!$E$10,999),IF(N(D44)&gt;0,Plan!$E$11,999),IF(N(E44)&gt;0,Plan!$E$12,999),IF(N(F44)&gt;0,Plan!$E$13,999),IF(N(G44)&gt;0,Plan!$E$14,999),IF(N(H44)&gt;0,Plan!$E$15,999),IF(N(I44)&gt;0,Plan!$E$16,999),IF(N(J44)&gt;0,Plan!$E$17,999),IF(N(K44)&gt;0,Plan!$E$18,999))</f>
        <v/>
      </c>
      <c r="M45" s="18">
        <f>IF(N(B44)&lt;=0,0,MIN(B44*(1+Plan!$C$9/12),Plan!$D$9+IF(Plan!$E$9=$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IF(N(C44)&lt;=0,0,MIN(C44*(1+Plan!$C$10/12),Plan!$D$10+IF(Plan!$E$10=$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IF(N(D44)&lt;=0,0,MIN(D44*(1+Plan!$C$11/12),Plan!$D$11+IF(Plan!$E$11=$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IF(N(E44)&lt;=0,0,MIN(E44*(1+Plan!$C$12/12),Plan!$D$12+IF(Plan!$E$12=$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IF(N(F44)&lt;=0,0,MIN(F44*(1+Plan!$C$13/12),Plan!$D$13+IF(Plan!$E$13=$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IF(N(G44)&lt;=0,0,MIN(G44*(1+Plan!$C$14/12),Plan!$D$14+IF(Plan!$E$14=$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IF(N(H44)&lt;=0,0,MIN(H44*(1+Plan!$C$15/12),Plan!$D$15+IF(Plan!$E$15=$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IF(N(I44)&lt;=0,0,MIN(I44*(1+Plan!$C$16/12),Plan!$D$16+IF(Plan!$E$16=$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IF(N(J44)&lt;=0,0,MIN(J44*(1+Plan!$C$17/12),Plan!$D$17+IF(Plan!$E$17=$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IF(N(K44)&lt;=0,0,MIN(K44*(1+Plan!$C$18/12),Plan!$D$18+IF(Plan!$E$18=$L45,Plan!$B$5+IF(AND(N(Plan!$B$9)&gt;0,N(B44)&lt;=0),Plan!$D$9,0)+IF(AND(N(Plan!$B$10)&gt;0,N(C44)&lt;=0),Plan!$D$10,0)+IF(AND(N(Plan!$B$11)&gt;0,N(D44)&lt;=0),Plan!$D$11,0)+IF(AND(N(Plan!$B$12)&gt;0,N(E44)&lt;=0),Plan!$D$12,0)+IF(AND(N(Plan!$B$13)&gt;0,N(F44)&lt;=0),Plan!$D$13,0)+IF(AND(N(Plan!$B$14)&gt;0,N(G44)&lt;=0),Plan!$D$14,0)+IF(AND(N(Plan!$B$15)&gt;0,N(H44)&lt;=0),Plan!$D$15,0)+IF(AND(N(Plan!$B$16)&gt;0,N(I44)&lt;=0),Plan!$D$16,0)+IF(AND(N(Plan!$B$17)&gt;0,N(J44)&lt;=0),Plan!$D$17,0)+IF(AND(N(Plan!$B$18)&gt;0,N(K44)&lt;=0),Plan!$D$18,0),0)))</f>
        <v/>
      </c>
    </row>
    <row r="46">
      <c r="A46" s="17" t="n">
        <v>42</v>
      </c>
      <c r="B46" s="18">
        <f>IF(N(B45)&lt;=0,0,MAX(0,B45*(1+Plan!$C$9/12)-(Plan!$D$9+IF(Plan!$E$9=$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C46" s="18">
        <f>IF(N(C45)&lt;=0,0,MAX(0,C45*(1+Plan!$C$10/12)-(Plan!$D$10+IF(Plan!$E$10=$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D46" s="18">
        <f>IF(N(D45)&lt;=0,0,MAX(0,D45*(1+Plan!$C$11/12)-(Plan!$D$11+IF(Plan!$E$11=$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E46" s="18">
        <f>IF(N(E45)&lt;=0,0,MAX(0,E45*(1+Plan!$C$12/12)-(Plan!$D$12+IF(Plan!$E$12=$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F46" s="18">
        <f>IF(N(F45)&lt;=0,0,MAX(0,F45*(1+Plan!$C$13/12)-(Plan!$D$13+IF(Plan!$E$13=$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G46" s="18">
        <f>IF(N(G45)&lt;=0,0,MAX(0,G45*(1+Plan!$C$14/12)-(Plan!$D$14+IF(Plan!$E$14=$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H46" s="18">
        <f>IF(N(H45)&lt;=0,0,MAX(0,H45*(1+Plan!$C$15/12)-(Plan!$D$15+IF(Plan!$E$15=$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I46" s="18">
        <f>IF(N(I45)&lt;=0,0,MAX(0,I45*(1+Plan!$C$16/12)-(Plan!$D$16+IF(Plan!$E$16=$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J46" s="18">
        <f>IF(N(J45)&lt;=0,0,MAX(0,J45*(1+Plan!$C$17/12)-(Plan!$D$17+IF(Plan!$E$17=$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K46" s="18">
        <f>IF(N(K45)&lt;=0,0,MAX(0,K45*(1+Plan!$C$18/12)-(Plan!$D$18+IF(Plan!$E$18=$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c r="L46" s="19">
        <f>MIN(IF(N(B45)&gt;0,Plan!$E$9,999),IF(N(C45)&gt;0,Plan!$E$10,999),IF(N(D45)&gt;0,Plan!$E$11,999),IF(N(E45)&gt;0,Plan!$E$12,999),IF(N(F45)&gt;0,Plan!$E$13,999),IF(N(G45)&gt;0,Plan!$E$14,999),IF(N(H45)&gt;0,Plan!$E$15,999),IF(N(I45)&gt;0,Plan!$E$16,999),IF(N(J45)&gt;0,Plan!$E$17,999),IF(N(K45)&gt;0,Plan!$E$18,999))</f>
        <v/>
      </c>
      <c r="M46" s="18">
        <f>IF(N(B45)&lt;=0,0,MIN(B45*(1+Plan!$C$9/12),Plan!$D$9+IF(Plan!$E$9=$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IF(N(C45)&lt;=0,0,MIN(C45*(1+Plan!$C$10/12),Plan!$D$10+IF(Plan!$E$10=$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IF(N(D45)&lt;=0,0,MIN(D45*(1+Plan!$C$11/12),Plan!$D$11+IF(Plan!$E$11=$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IF(N(E45)&lt;=0,0,MIN(E45*(1+Plan!$C$12/12),Plan!$D$12+IF(Plan!$E$12=$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IF(N(F45)&lt;=0,0,MIN(F45*(1+Plan!$C$13/12),Plan!$D$13+IF(Plan!$E$13=$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IF(N(G45)&lt;=0,0,MIN(G45*(1+Plan!$C$14/12),Plan!$D$14+IF(Plan!$E$14=$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IF(N(H45)&lt;=0,0,MIN(H45*(1+Plan!$C$15/12),Plan!$D$15+IF(Plan!$E$15=$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IF(N(I45)&lt;=0,0,MIN(I45*(1+Plan!$C$16/12),Plan!$D$16+IF(Plan!$E$16=$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IF(N(J45)&lt;=0,0,MIN(J45*(1+Plan!$C$17/12),Plan!$D$17+IF(Plan!$E$17=$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IF(N(K45)&lt;=0,0,MIN(K45*(1+Plan!$C$18/12),Plan!$D$18+IF(Plan!$E$18=$L46,Plan!$B$5+IF(AND(N(Plan!$B$9)&gt;0,N(B45)&lt;=0),Plan!$D$9,0)+IF(AND(N(Plan!$B$10)&gt;0,N(C45)&lt;=0),Plan!$D$10,0)+IF(AND(N(Plan!$B$11)&gt;0,N(D45)&lt;=0),Plan!$D$11,0)+IF(AND(N(Plan!$B$12)&gt;0,N(E45)&lt;=0),Plan!$D$12,0)+IF(AND(N(Plan!$B$13)&gt;0,N(F45)&lt;=0),Plan!$D$13,0)+IF(AND(N(Plan!$B$14)&gt;0,N(G45)&lt;=0),Plan!$D$14,0)+IF(AND(N(Plan!$B$15)&gt;0,N(H45)&lt;=0),Plan!$D$15,0)+IF(AND(N(Plan!$B$16)&gt;0,N(I45)&lt;=0),Plan!$D$16,0)+IF(AND(N(Plan!$B$17)&gt;0,N(J45)&lt;=0),Plan!$D$17,0)+IF(AND(N(Plan!$B$18)&gt;0,N(K45)&lt;=0),Plan!$D$18,0),0)))</f>
        <v/>
      </c>
    </row>
    <row r="47">
      <c r="A47" s="17" t="n">
        <v>43</v>
      </c>
      <c r="B47" s="18">
        <f>IF(N(B46)&lt;=0,0,MAX(0,B46*(1+Plan!$C$9/12)-(Plan!$D$9+IF(Plan!$E$9=$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C47" s="18">
        <f>IF(N(C46)&lt;=0,0,MAX(0,C46*(1+Plan!$C$10/12)-(Plan!$D$10+IF(Plan!$E$10=$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D47" s="18">
        <f>IF(N(D46)&lt;=0,0,MAX(0,D46*(1+Plan!$C$11/12)-(Plan!$D$11+IF(Plan!$E$11=$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E47" s="18">
        <f>IF(N(E46)&lt;=0,0,MAX(0,E46*(1+Plan!$C$12/12)-(Plan!$D$12+IF(Plan!$E$12=$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F47" s="18">
        <f>IF(N(F46)&lt;=0,0,MAX(0,F46*(1+Plan!$C$13/12)-(Plan!$D$13+IF(Plan!$E$13=$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G47" s="18">
        <f>IF(N(G46)&lt;=0,0,MAX(0,G46*(1+Plan!$C$14/12)-(Plan!$D$14+IF(Plan!$E$14=$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H47" s="18">
        <f>IF(N(H46)&lt;=0,0,MAX(0,H46*(1+Plan!$C$15/12)-(Plan!$D$15+IF(Plan!$E$15=$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I47" s="18">
        <f>IF(N(I46)&lt;=0,0,MAX(0,I46*(1+Plan!$C$16/12)-(Plan!$D$16+IF(Plan!$E$16=$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J47" s="18">
        <f>IF(N(J46)&lt;=0,0,MAX(0,J46*(1+Plan!$C$17/12)-(Plan!$D$17+IF(Plan!$E$17=$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K47" s="18">
        <f>IF(N(K46)&lt;=0,0,MAX(0,K46*(1+Plan!$C$18/12)-(Plan!$D$18+IF(Plan!$E$18=$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c r="L47" s="19">
        <f>MIN(IF(N(B46)&gt;0,Plan!$E$9,999),IF(N(C46)&gt;0,Plan!$E$10,999),IF(N(D46)&gt;0,Plan!$E$11,999),IF(N(E46)&gt;0,Plan!$E$12,999),IF(N(F46)&gt;0,Plan!$E$13,999),IF(N(G46)&gt;0,Plan!$E$14,999),IF(N(H46)&gt;0,Plan!$E$15,999),IF(N(I46)&gt;0,Plan!$E$16,999),IF(N(J46)&gt;0,Plan!$E$17,999),IF(N(K46)&gt;0,Plan!$E$18,999))</f>
        <v/>
      </c>
      <c r="M47" s="18">
        <f>IF(N(B46)&lt;=0,0,MIN(B46*(1+Plan!$C$9/12),Plan!$D$9+IF(Plan!$E$9=$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IF(N(C46)&lt;=0,0,MIN(C46*(1+Plan!$C$10/12),Plan!$D$10+IF(Plan!$E$10=$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IF(N(D46)&lt;=0,0,MIN(D46*(1+Plan!$C$11/12),Plan!$D$11+IF(Plan!$E$11=$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IF(N(E46)&lt;=0,0,MIN(E46*(1+Plan!$C$12/12),Plan!$D$12+IF(Plan!$E$12=$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IF(N(F46)&lt;=0,0,MIN(F46*(1+Plan!$C$13/12),Plan!$D$13+IF(Plan!$E$13=$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IF(N(G46)&lt;=0,0,MIN(G46*(1+Plan!$C$14/12),Plan!$D$14+IF(Plan!$E$14=$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IF(N(H46)&lt;=0,0,MIN(H46*(1+Plan!$C$15/12),Plan!$D$15+IF(Plan!$E$15=$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IF(N(I46)&lt;=0,0,MIN(I46*(1+Plan!$C$16/12),Plan!$D$16+IF(Plan!$E$16=$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IF(N(J46)&lt;=0,0,MIN(J46*(1+Plan!$C$17/12),Plan!$D$17+IF(Plan!$E$17=$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IF(N(K46)&lt;=0,0,MIN(K46*(1+Plan!$C$18/12),Plan!$D$18+IF(Plan!$E$18=$L47,Plan!$B$5+IF(AND(N(Plan!$B$9)&gt;0,N(B46)&lt;=0),Plan!$D$9,0)+IF(AND(N(Plan!$B$10)&gt;0,N(C46)&lt;=0),Plan!$D$10,0)+IF(AND(N(Plan!$B$11)&gt;0,N(D46)&lt;=0),Plan!$D$11,0)+IF(AND(N(Plan!$B$12)&gt;0,N(E46)&lt;=0),Plan!$D$12,0)+IF(AND(N(Plan!$B$13)&gt;0,N(F46)&lt;=0),Plan!$D$13,0)+IF(AND(N(Plan!$B$14)&gt;0,N(G46)&lt;=0),Plan!$D$14,0)+IF(AND(N(Plan!$B$15)&gt;0,N(H46)&lt;=0),Plan!$D$15,0)+IF(AND(N(Plan!$B$16)&gt;0,N(I46)&lt;=0),Plan!$D$16,0)+IF(AND(N(Plan!$B$17)&gt;0,N(J46)&lt;=0),Plan!$D$17,0)+IF(AND(N(Plan!$B$18)&gt;0,N(K46)&lt;=0),Plan!$D$18,0),0)))</f>
        <v/>
      </c>
    </row>
    <row r="48">
      <c r="A48" s="17" t="n">
        <v>44</v>
      </c>
      <c r="B48" s="18">
        <f>IF(N(B47)&lt;=0,0,MAX(0,B47*(1+Plan!$C$9/12)-(Plan!$D$9+IF(Plan!$E$9=$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C48" s="18">
        <f>IF(N(C47)&lt;=0,0,MAX(0,C47*(1+Plan!$C$10/12)-(Plan!$D$10+IF(Plan!$E$10=$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D48" s="18">
        <f>IF(N(D47)&lt;=0,0,MAX(0,D47*(1+Plan!$C$11/12)-(Plan!$D$11+IF(Plan!$E$11=$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E48" s="18">
        <f>IF(N(E47)&lt;=0,0,MAX(0,E47*(1+Plan!$C$12/12)-(Plan!$D$12+IF(Plan!$E$12=$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F48" s="18">
        <f>IF(N(F47)&lt;=0,0,MAX(0,F47*(1+Plan!$C$13/12)-(Plan!$D$13+IF(Plan!$E$13=$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G48" s="18">
        <f>IF(N(G47)&lt;=0,0,MAX(0,G47*(1+Plan!$C$14/12)-(Plan!$D$14+IF(Plan!$E$14=$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H48" s="18">
        <f>IF(N(H47)&lt;=0,0,MAX(0,H47*(1+Plan!$C$15/12)-(Plan!$D$15+IF(Plan!$E$15=$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I48" s="18">
        <f>IF(N(I47)&lt;=0,0,MAX(0,I47*(1+Plan!$C$16/12)-(Plan!$D$16+IF(Plan!$E$16=$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J48" s="18">
        <f>IF(N(J47)&lt;=0,0,MAX(0,J47*(1+Plan!$C$17/12)-(Plan!$D$17+IF(Plan!$E$17=$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K48" s="18">
        <f>IF(N(K47)&lt;=0,0,MAX(0,K47*(1+Plan!$C$18/12)-(Plan!$D$18+IF(Plan!$E$18=$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c r="L48" s="19">
        <f>MIN(IF(N(B47)&gt;0,Plan!$E$9,999),IF(N(C47)&gt;0,Plan!$E$10,999),IF(N(D47)&gt;0,Plan!$E$11,999),IF(N(E47)&gt;0,Plan!$E$12,999),IF(N(F47)&gt;0,Plan!$E$13,999),IF(N(G47)&gt;0,Plan!$E$14,999),IF(N(H47)&gt;0,Plan!$E$15,999),IF(N(I47)&gt;0,Plan!$E$16,999),IF(N(J47)&gt;0,Plan!$E$17,999),IF(N(K47)&gt;0,Plan!$E$18,999))</f>
        <v/>
      </c>
      <c r="M48" s="18">
        <f>IF(N(B47)&lt;=0,0,MIN(B47*(1+Plan!$C$9/12),Plan!$D$9+IF(Plan!$E$9=$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IF(N(C47)&lt;=0,0,MIN(C47*(1+Plan!$C$10/12),Plan!$D$10+IF(Plan!$E$10=$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IF(N(D47)&lt;=0,0,MIN(D47*(1+Plan!$C$11/12),Plan!$D$11+IF(Plan!$E$11=$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IF(N(E47)&lt;=0,0,MIN(E47*(1+Plan!$C$12/12),Plan!$D$12+IF(Plan!$E$12=$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IF(N(F47)&lt;=0,0,MIN(F47*(1+Plan!$C$13/12),Plan!$D$13+IF(Plan!$E$13=$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IF(N(G47)&lt;=0,0,MIN(G47*(1+Plan!$C$14/12),Plan!$D$14+IF(Plan!$E$14=$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IF(N(H47)&lt;=0,0,MIN(H47*(1+Plan!$C$15/12),Plan!$D$15+IF(Plan!$E$15=$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IF(N(I47)&lt;=0,0,MIN(I47*(1+Plan!$C$16/12),Plan!$D$16+IF(Plan!$E$16=$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IF(N(J47)&lt;=0,0,MIN(J47*(1+Plan!$C$17/12),Plan!$D$17+IF(Plan!$E$17=$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IF(N(K47)&lt;=0,0,MIN(K47*(1+Plan!$C$18/12),Plan!$D$18+IF(Plan!$E$18=$L48,Plan!$B$5+IF(AND(N(Plan!$B$9)&gt;0,N(B47)&lt;=0),Plan!$D$9,0)+IF(AND(N(Plan!$B$10)&gt;0,N(C47)&lt;=0),Plan!$D$10,0)+IF(AND(N(Plan!$B$11)&gt;0,N(D47)&lt;=0),Plan!$D$11,0)+IF(AND(N(Plan!$B$12)&gt;0,N(E47)&lt;=0),Plan!$D$12,0)+IF(AND(N(Plan!$B$13)&gt;0,N(F47)&lt;=0),Plan!$D$13,0)+IF(AND(N(Plan!$B$14)&gt;0,N(G47)&lt;=0),Plan!$D$14,0)+IF(AND(N(Plan!$B$15)&gt;0,N(H47)&lt;=0),Plan!$D$15,0)+IF(AND(N(Plan!$B$16)&gt;0,N(I47)&lt;=0),Plan!$D$16,0)+IF(AND(N(Plan!$B$17)&gt;0,N(J47)&lt;=0),Plan!$D$17,0)+IF(AND(N(Plan!$B$18)&gt;0,N(K47)&lt;=0),Plan!$D$18,0),0)))</f>
        <v/>
      </c>
    </row>
    <row r="49">
      <c r="A49" s="17" t="n">
        <v>45</v>
      </c>
      <c r="B49" s="18">
        <f>IF(N(B48)&lt;=0,0,MAX(0,B48*(1+Plan!$C$9/12)-(Plan!$D$9+IF(Plan!$E$9=$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C49" s="18">
        <f>IF(N(C48)&lt;=0,0,MAX(0,C48*(1+Plan!$C$10/12)-(Plan!$D$10+IF(Plan!$E$10=$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D49" s="18">
        <f>IF(N(D48)&lt;=0,0,MAX(0,D48*(1+Plan!$C$11/12)-(Plan!$D$11+IF(Plan!$E$11=$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E49" s="18">
        <f>IF(N(E48)&lt;=0,0,MAX(0,E48*(1+Plan!$C$12/12)-(Plan!$D$12+IF(Plan!$E$12=$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F49" s="18">
        <f>IF(N(F48)&lt;=0,0,MAX(0,F48*(1+Plan!$C$13/12)-(Plan!$D$13+IF(Plan!$E$13=$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G49" s="18">
        <f>IF(N(G48)&lt;=0,0,MAX(0,G48*(1+Plan!$C$14/12)-(Plan!$D$14+IF(Plan!$E$14=$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H49" s="18">
        <f>IF(N(H48)&lt;=0,0,MAX(0,H48*(1+Plan!$C$15/12)-(Plan!$D$15+IF(Plan!$E$15=$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I49" s="18">
        <f>IF(N(I48)&lt;=0,0,MAX(0,I48*(1+Plan!$C$16/12)-(Plan!$D$16+IF(Plan!$E$16=$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J49" s="18">
        <f>IF(N(J48)&lt;=0,0,MAX(0,J48*(1+Plan!$C$17/12)-(Plan!$D$17+IF(Plan!$E$17=$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K49" s="18">
        <f>IF(N(K48)&lt;=0,0,MAX(0,K48*(1+Plan!$C$18/12)-(Plan!$D$18+IF(Plan!$E$18=$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c r="L49" s="19">
        <f>MIN(IF(N(B48)&gt;0,Plan!$E$9,999),IF(N(C48)&gt;0,Plan!$E$10,999),IF(N(D48)&gt;0,Plan!$E$11,999),IF(N(E48)&gt;0,Plan!$E$12,999),IF(N(F48)&gt;0,Plan!$E$13,999),IF(N(G48)&gt;0,Plan!$E$14,999),IF(N(H48)&gt;0,Plan!$E$15,999),IF(N(I48)&gt;0,Plan!$E$16,999),IF(N(J48)&gt;0,Plan!$E$17,999),IF(N(K48)&gt;0,Plan!$E$18,999))</f>
        <v/>
      </c>
      <c r="M49" s="18">
        <f>IF(N(B48)&lt;=0,0,MIN(B48*(1+Plan!$C$9/12),Plan!$D$9+IF(Plan!$E$9=$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IF(N(C48)&lt;=0,0,MIN(C48*(1+Plan!$C$10/12),Plan!$D$10+IF(Plan!$E$10=$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IF(N(D48)&lt;=0,0,MIN(D48*(1+Plan!$C$11/12),Plan!$D$11+IF(Plan!$E$11=$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IF(N(E48)&lt;=0,0,MIN(E48*(1+Plan!$C$12/12),Plan!$D$12+IF(Plan!$E$12=$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IF(N(F48)&lt;=0,0,MIN(F48*(1+Plan!$C$13/12),Plan!$D$13+IF(Plan!$E$13=$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IF(N(G48)&lt;=0,0,MIN(G48*(1+Plan!$C$14/12),Plan!$D$14+IF(Plan!$E$14=$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IF(N(H48)&lt;=0,0,MIN(H48*(1+Plan!$C$15/12),Plan!$D$15+IF(Plan!$E$15=$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IF(N(I48)&lt;=0,0,MIN(I48*(1+Plan!$C$16/12),Plan!$D$16+IF(Plan!$E$16=$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IF(N(J48)&lt;=0,0,MIN(J48*(1+Plan!$C$17/12),Plan!$D$17+IF(Plan!$E$17=$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IF(N(K48)&lt;=0,0,MIN(K48*(1+Plan!$C$18/12),Plan!$D$18+IF(Plan!$E$18=$L49,Plan!$B$5+IF(AND(N(Plan!$B$9)&gt;0,N(B48)&lt;=0),Plan!$D$9,0)+IF(AND(N(Plan!$B$10)&gt;0,N(C48)&lt;=0),Plan!$D$10,0)+IF(AND(N(Plan!$B$11)&gt;0,N(D48)&lt;=0),Plan!$D$11,0)+IF(AND(N(Plan!$B$12)&gt;0,N(E48)&lt;=0),Plan!$D$12,0)+IF(AND(N(Plan!$B$13)&gt;0,N(F48)&lt;=0),Plan!$D$13,0)+IF(AND(N(Plan!$B$14)&gt;0,N(G48)&lt;=0),Plan!$D$14,0)+IF(AND(N(Plan!$B$15)&gt;0,N(H48)&lt;=0),Plan!$D$15,0)+IF(AND(N(Plan!$B$16)&gt;0,N(I48)&lt;=0),Plan!$D$16,0)+IF(AND(N(Plan!$B$17)&gt;0,N(J48)&lt;=0),Plan!$D$17,0)+IF(AND(N(Plan!$B$18)&gt;0,N(K48)&lt;=0),Plan!$D$18,0),0)))</f>
        <v/>
      </c>
    </row>
    <row r="50">
      <c r="A50" s="17" t="n">
        <v>46</v>
      </c>
      <c r="B50" s="18">
        <f>IF(N(B49)&lt;=0,0,MAX(0,B49*(1+Plan!$C$9/12)-(Plan!$D$9+IF(Plan!$E$9=$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C50" s="18">
        <f>IF(N(C49)&lt;=0,0,MAX(0,C49*(1+Plan!$C$10/12)-(Plan!$D$10+IF(Plan!$E$10=$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D50" s="18">
        <f>IF(N(D49)&lt;=0,0,MAX(0,D49*(1+Plan!$C$11/12)-(Plan!$D$11+IF(Plan!$E$11=$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E50" s="18">
        <f>IF(N(E49)&lt;=0,0,MAX(0,E49*(1+Plan!$C$12/12)-(Plan!$D$12+IF(Plan!$E$12=$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F50" s="18">
        <f>IF(N(F49)&lt;=0,0,MAX(0,F49*(1+Plan!$C$13/12)-(Plan!$D$13+IF(Plan!$E$13=$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G50" s="18">
        <f>IF(N(G49)&lt;=0,0,MAX(0,G49*(1+Plan!$C$14/12)-(Plan!$D$14+IF(Plan!$E$14=$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H50" s="18">
        <f>IF(N(H49)&lt;=0,0,MAX(0,H49*(1+Plan!$C$15/12)-(Plan!$D$15+IF(Plan!$E$15=$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I50" s="18">
        <f>IF(N(I49)&lt;=0,0,MAX(0,I49*(1+Plan!$C$16/12)-(Plan!$D$16+IF(Plan!$E$16=$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J50" s="18">
        <f>IF(N(J49)&lt;=0,0,MAX(0,J49*(1+Plan!$C$17/12)-(Plan!$D$17+IF(Plan!$E$17=$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K50" s="18">
        <f>IF(N(K49)&lt;=0,0,MAX(0,K49*(1+Plan!$C$18/12)-(Plan!$D$18+IF(Plan!$E$18=$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c r="L50" s="19">
        <f>MIN(IF(N(B49)&gt;0,Plan!$E$9,999),IF(N(C49)&gt;0,Plan!$E$10,999),IF(N(D49)&gt;0,Plan!$E$11,999),IF(N(E49)&gt;0,Plan!$E$12,999),IF(N(F49)&gt;0,Plan!$E$13,999),IF(N(G49)&gt;0,Plan!$E$14,999),IF(N(H49)&gt;0,Plan!$E$15,999),IF(N(I49)&gt;0,Plan!$E$16,999),IF(N(J49)&gt;0,Plan!$E$17,999),IF(N(K49)&gt;0,Plan!$E$18,999))</f>
        <v/>
      </c>
      <c r="M50" s="18">
        <f>IF(N(B49)&lt;=0,0,MIN(B49*(1+Plan!$C$9/12),Plan!$D$9+IF(Plan!$E$9=$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IF(N(C49)&lt;=0,0,MIN(C49*(1+Plan!$C$10/12),Plan!$D$10+IF(Plan!$E$10=$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IF(N(D49)&lt;=0,0,MIN(D49*(1+Plan!$C$11/12),Plan!$D$11+IF(Plan!$E$11=$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IF(N(E49)&lt;=0,0,MIN(E49*(1+Plan!$C$12/12),Plan!$D$12+IF(Plan!$E$12=$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IF(N(F49)&lt;=0,0,MIN(F49*(1+Plan!$C$13/12),Plan!$D$13+IF(Plan!$E$13=$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IF(N(G49)&lt;=0,0,MIN(G49*(1+Plan!$C$14/12),Plan!$D$14+IF(Plan!$E$14=$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IF(N(H49)&lt;=0,0,MIN(H49*(1+Plan!$C$15/12),Plan!$D$15+IF(Plan!$E$15=$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IF(N(I49)&lt;=0,0,MIN(I49*(1+Plan!$C$16/12),Plan!$D$16+IF(Plan!$E$16=$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IF(N(J49)&lt;=0,0,MIN(J49*(1+Plan!$C$17/12),Plan!$D$17+IF(Plan!$E$17=$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IF(N(K49)&lt;=0,0,MIN(K49*(1+Plan!$C$18/12),Plan!$D$18+IF(Plan!$E$18=$L50,Plan!$B$5+IF(AND(N(Plan!$B$9)&gt;0,N(B49)&lt;=0),Plan!$D$9,0)+IF(AND(N(Plan!$B$10)&gt;0,N(C49)&lt;=0),Plan!$D$10,0)+IF(AND(N(Plan!$B$11)&gt;0,N(D49)&lt;=0),Plan!$D$11,0)+IF(AND(N(Plan!$B$12)&gt;0,N(E49)&lt;=0),Plan!$D$12,0)+IF(AND(N(Plan!$B$13)&gt;0,N(F49)&lt;=0),Plan!$D$13,0)+IF(AND(N(Plan!$B$14)&gt;0,N(G49)&lt;=0),Plan!$D$14,0)+IF(AND(N(Plan!$B$15)&gt;0,N(H49)&lt;=0),Plan!$D$15,0)+IF(AND(N(Plan!$B$16)&gt;0,N(I49)&lt;=0),Plan!$D$16,0)+IF(AND(N(Plan!$B$17)&gt;0,N(J49)&lt;=0),Plan!$D$17,0)+IF(AND(N(Plan!$B$18)&gt;0,N(K49)&lt;=0),Plan!$D$18,0),0)))</f>
        <v/>
      </c>
    </row>
    <row r="51">
      <c r="A51" s="17" t="n">
        <v>47</v>
      </c>
      <c r="B51" s="18">
        <f>IF(N(B50)&lt;=0,0,MAX(0,B50*(1+Plan!$C$9/12)-(Plan!$D$9+IF(Plan!$E$9=$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C51" s="18">
        <f>IF(N(C50)&lt;=0,0,MAX(0,C50*(1+Plan!$C$10/12)-(Plan!$D$10+IF(Plan!$E$10=$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D51" s="18">
        <f>IF(N(D50)&lt;=0,0,MAX(0,D50*(1+Plan!$C$11/12)-(Plan!$D$11+IF(Plan!$E$11=$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E51" s="18">
        <f>IF(N(E50)&lt;=0,0,MAX(0,E50*(1+Plan!$C$12/12)-(Plan!$D$12+IF(Plan!$E$12=$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F51" s="18">
        <f>IF(N(F50)&lt;=0,0,MAX(0,F50*(1+Plan!$C$13/12)-(Plan!$D$13+IF(Plan!$E$13=$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G51" s="18">
        <f>IF(N(G50)&lt;=0,0,MAX(0,G50*(1+Plan!$C$14/12)-(Plan!$D$14+IF(Plan!$E$14=$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H51" s="18">
        <f>IF(N(H50)&lt;=0,0,MAX(0,H50*(1+Plan!$C$15/12)-(Plan!$D$15+IF(Plan!$E$15=$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I51" s="18">
        <f>IF(N(I50)&lt;=0,0,MAX(0,I50*(1+Plan!$C$16/12)-(Plan!$D$16+IF(Plan!$E$16=$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J51" s="18">
        <f>IF(N(J50)&lt;=0,0,MAX(0,J50*(1+Plan!$C$17/12)-(Plan!$D$17+IF(Plan!$E$17=$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K51" s="18">
        <f>IF(N(K50)&lt;=0,0,MAX(0,K50*(1+Plan!$C$18/12)-(Plan!$D$18+IF(Plan!$E$18=$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c r="L51" s="19">
        <f>MIN(IF(N(B50)&gt;0,Plan!$E$9,999),IF(N(C50)&gt;0,Plan!$E$10,999),IF(N(D50)&gt;0,Plan!$E$11,999),IF(N(E50)&gt;0,Plan!$E$12,999),IF(N(F50)&gt;0,Plan!$E$13,999),IF(N(G50)&gt;0,Plan!$E$14,999),IF(N(H50)&gt;0,Plan!$E$15,999),IF(N(I50)&gt;0,Plan!$E$16,999),IF(N(J50)&gt;0,Plan!$E$17,999),IF(N(K50)&gt;0,Plan!$E$18,999))</f>
        <v/>
      </c>
      <c r="M51" s="18">
        <f>IF(N(B50)&lt;=0,0,MIN(B50*(1+Plan!$C$9/12),Plan!$D$9+IF(Plan!$E$9=$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IF(N(C50)&lt;=0,0,MIN(C50*(1+Plan!$C$10/12),Plan!$D$10+IF(Plan!$E$10=$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IF(N(D50)&lt;=0,0,MIN(D50*(1+Plan!$C$11/12),Plan!$D$11+IF(Plan!$E$11=$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IF(N(E50)&lt;=0,0,MIN(E50*(1+Plan!$C$12/12),Plan!$D$12+IF(Plan!$E$12=$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IF(N(F50)&lt;=0,0,MIN(F50*(1+Plan!$C$13/12),Plan!$D$13+IF(Plan!$E$13=$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IF(N(G50)&lt;=0,0,MIN(G50*(1+Plan!$C$14/12),Plan!$D$14+IF(Plan!$E$14=$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IF(N(H50)&lt;=0,0,MIN(H50*(1+Plan!$C$15/12),Plan!$D$15+IF(Plan!$E$15=$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IF(N(I50)&lt;=0,0,MIN(I50*(1+Plan!$C$16/12),Plan!$D$16+IF(Plan!$E$16=$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IF(N(J50)&lt;=0,0,MIN(J50*(1+Plan!$C$17/12),Plan!$D$17+IF(Plan!$E$17=$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IF(N(K50)&lt;=0,0,MIN(K50*(1+Plan!$C$18/12),Plan!$D$18+IF(Plan!$E$18=$L51,Plan!$B$5+IF(AND(N(Plan!$B$9)&gt;0,N(B50)&lt;=0),Plan!$D$9,0)+IF(AND(N(Plan!$B$10)&gt;0,N(C50)&lt;=0),Plan!$D$10,0)+IF(AND(N(Plan!$B$11)&gt;0,N(D50)&lt;=0),Plan!$D$11,0)+IF(AND(N(Plan!$B$12)&gt;0,N(E50)&lt;=0),Plan!$D$12,0)+IF(AND(N(Plan!$B$13)&gt;0,N(F50)&lt;=0),Plan!$D$13,0)+IF(AND(N(Plan!$B$14)&gt;0,N(G50)&lt;=0),Plan!$D$14,0)+IF(AND(N(Plan!$B$15)&gt;0,N(H50)&lt;=0),Plan!$D$15,0)+IF(AND(N(Plan!$B$16)&gt;0,N(I50)&lt;=0),Plan!$D$16,0)+IF(AND(N(Plan!$B$17)&gt;0,N(J50)&lt;=0),Plan!$D$17,0)+IF(AND(N(Plan!$B$18)&gt;0,N(K50)&lt;=0),Plan!$D$18,0),0)))</f>
        <v/>
      </c>
    </row>
    <row r="52">
      <c r="A52" s="17" t="n">
        <v>48</v>
      </c>
      <c r="B52" s="18">
        <f>IF(N(B51)&lt;=0,0,MAX(0,B51*(1+Plan!$C$9/12)-(Plan!$D$9+IF(Plan!$E$9=$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C52" s="18">
        <f>IF(N(C51)&lt;=0,0,MAX(0,C51*(1+Plan!$C$10/12)-(Plan!$D$10+IF(Plan!$E$10=$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D52" s="18">
        <f>IF(N(D51)&lt;=0,0,MAX(0,D51*(1+Plan!$C$11/12)-(Plan!$D$11+IF(Plan!$E$11=$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E52" s="18">
        <f>IF(N(E51)&lt;=0,0,MAX(0,E51*(1+Plan!$C$12/12)-(Plan!$D$12+IF(Plan!$E$12=$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F52" s="18">
        <f>IF(N(F51)&lt;=0,0,MAX(0,F51*(1+Plan!$C$13/12)-(Plan!$D$13+IF(Plan!$E$13=$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G52" s="18">
        <f>IF(N(G51)&lt;=0,0,MAX(0,G51*(1+Plan!$C$14/12)-(Plan!$D$14+IF(Plan!$E$14=$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H52" s="18">
        <f>IF(N(H51)&lt;=0,0,MAX(0,H51*(1+Plan!$C$15/12)-(Plan!$D$15+IF(Plan!$E$15=$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I52" s="18">
        <f>IF(N(I51)&lt;=0,0,MAX(0,I51*(1+Plan!$C$16/12)-(Plan!$D$16+IF(Plan!$E$16=$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J52" s="18">
        <f>IF(N(J51)&lt;=0,0,MAX(0,J51*(1+Plan!$C$17/12)-(Plan!$D$17+IF(Plan!$E$17=$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K52" s="18">
        <f>IF(N(K51)&lt;=0,0,MAX(0,K51*(1+Plan!$C$18/12)-(Plan!$D$18+IF(Plan!$E$18=$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c r="L52" s="19">
        <f>MIN(IF(N(B51)&gt;0,Plan!$E$9,999),IF(N(C51)&gt;0,Plan!$E$10,999),IF(N(D51)&gt;0,Plan!$E$11,999),IF(N(E51)&gt;0,Plan!$E$12,999),IF(N(F51)&gt;0,Plan!$E$13,999),IF(N(G51)&gt;0,Plan!$E$14,999),IF(N(H51)&gt;0,Plan!$E$15,999),IF(N(I51)&gt;0,Plan!$E$16,999),IF(N(J51)&gt;0,Plan!$E$17,999),IF(N(K51)&gt;0,Plan!$E$18,999))</f>
        <v/>
      </c>
      <c r="M52" s="18">
        <f>IF(N(B51)&lt;=0,0,MIN(B51*(1+Plan!$C$9/12),Plan!$D$9+IF(Plan!$E$9=$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IF(N(C51)&lt;=0,0,MIN(C51*(1+Plan!$C$10/12),Plan!$D$10+IF(Plan!$E$10=$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IF(N(D51)&lt;=0,0,MIN(D51*(1+Plan!$C$11/12),Plan!$D$11+IF(Plan!$E$11=$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IF(N(E51)&lt;=0,0,MIN(E51*(1+Plan!$C$12/12),Plan!$D$12+IF(Plan!$E$12=$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IF(N(F51)&lt;=0,0,MIN(F51*(1+Plan!$C$13/12),Plan!$D$13+IF(Plan!$E$13=$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IF(N(G51)&lt;=0,0,MIN(G51*(1+Plan!$C$14/12),Plan!$D$14+IF(Plan!$E$14=$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IF(N(H51)&lt;=0,0,MIN(H51*(1+Plan!$C$15/12),Plan!$D$15+IF(Plan!$E$15=$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IF(N(I51)&lt;=0,0,MIN(I51*(1+Plan!$C$16/12),Plan!$D$16+IF(Plan!$E$16=$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IF(N(J51)&lt;=0,0,MIN(J51*(1+Plan!$C$17/12),Plan!$D$17+IF(Plan!$E$17=$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IF(N(K51)&lt;=0,0,MIN(K51*(1+Plan!$C$18/12),Plan!$D$18+IF(Plan!$E$18=$L52,Plan!$B$5+IF(AND(N(Plan!$B$9)&gt;0,N(B51)&lt;=0),Plan!$D$9,0)+IF(AND(N(Plan!$B$10)&gt;0,N(C51)&lt;=0),Plan!$D$10,0)+IF(AND(N(Plan!$B$11)&gt;0,N(D51)&lt;=0),Plan!$D$11,0)+IF(AND(N(Plan!$B$12)&gt;0,N(E51)&lt;=0),Plan!$D$12,0)+IF(AND(N(Plan!$B$13)&gt;0,N(F51)&lt;=0),Plan!$D$13,0)+IF(AND(N(Plan!$B$14)&gt;0,N(G51)&lt;=0),Plan!$D$14,0)+IF(AND(N(Plan!$B$15)&gt;0,N(H51)&lt;=0),Plan!$D$15,0)+IF(AND(N(Plan!$B$16)&gt;0,N(I51)&lt;=0),Plan!$D$16,0)+IF(AND(N(Plan!$B$17)&gt;0,N(J51)&lt;=0),Plan!$D$17,0)+IF(AND(N(Plan!$B$18)&gt;0,N(K51)&lt;=0),Plan!$D$18,0),0)))</f>
        <v/>
      </c>
    </row>
    <row r="53">
      <c r="A53" s="17" t="n">
        <v>49</v>
      </c>
      <c r="B53" s="18">
        <f>IF(N(B52)&lt;=0,0,MAX(0,B52*(1+Plan!$C$9/12)-(Plan!$D$9+IF(Plan!$E$9=$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C53" s="18">
        <f>IF(N(C52)&lt;=0,0,MAX(0,C52*(1+Plan!$C$10/12)-(Plan!$D$10+IF(Plan!$E$10=$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D53" s="18">
        <f>IF(N(D52)&lt;=0,0,MAX(0,D52*(1+Plan!$C$11/12)-(Plan!$D$11+IF(Plan!$E$11=$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E53" s="18">
        <f>IF(N(E52)&lt;=0,0,MAX(0,E52*(1+Plan!$C$12/12)-(Plan!$D$12+IF(Plan!$E$12=$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F53" s="18">
        <f>IF(N(F52)&lt;=0,0,MAX(0,F52*(1+Plan!$C$13/12)-(Plan!$D$13+IF(Plan!$E$13=$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G53" s="18">
        <f>IF(N(G52)&lt;=0,0,MAX(0,G52*(1+Plan!$C$14/12)-(Plan!$D$14+IF(Plan!$E$14=$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H53" s="18">
        <f>IF(N(H52)&lt;=0,0,MAX(0,H52*(1+Plan!$C$15/12)-(Plan!$D$15+IF(Plan!$E$15=$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I53" s="18">
        <f>IF(N(I52)&lt;=0,0,MAX(0,I52*(1+Plan!$C$16/12)-(Plan!$D$16+IF(Plan!$E$16=$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J53" s="18">
        <f>IF(N(J52)&lt;=0,0,MAX(0,J52*(1+Plan!$C$17/12)-(Plan!$D$17+IF(Plan!$E$17=$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K53" s="18">
        <f>IF(N(K52)&lt;=0,0,MAX(0,K52*(1+Plan!$C$18/12)-(Plan!$D$18+IF(Plan!$E$18=$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c r="L53" s="19">
        <f>MIN(IF(N(B52)&gt;0,Plan!$E$9,999),IF(N(C52)&gt;0,Plan!$E$10,999),IF(N(D52)&gt;0,Plan!$E$11,999),IF(N(E52)&gt;0,Plan!$E$12,999),IF(N(F52)&gt;0,Plan!$E$13,999),IF(N(G52)&gt;0,Plan!$E$14,999),IF(N(H52)&gt;0,Plan!$E$15,999),IF(N(I52)&gt;0,Plan!$E$16,999),IF(N(J52)&gt;0,Plan!$E$17,999),IF(N(K52)&gt;0,Plan!$E$18,999))</f>
        <v/>
      </c>
      <c r="M53" s="18">
        <f>IF(N(B52)&lt;=0,0,MIN(B52*(1+Plan!$C$9/12),Plan!$D$9+IF(Plan!$E$9=$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IF(N(C52)&lt;=0,0,MIN(C52*(1+Plan!$C$10/12),Plan!$D$10+IF(Plan!$E$10=$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IF(N(D52)&lt;=0,0,MIN(D52*(1+Plan!$C$11/12),Plan!$D$11+IF(Plan!$E$11=$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IF(N(E52)&lt;=0,0,MIN(E52*(1+Plan!$C$12/12),Plan!$D$12+IF(Plan!$E$12=$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IF(N(F52)&lt;=0,0,MIN(F52*(1+Plan!$C$13/12),Plan!$D$13+IF(Plan!$E$13=$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IF(N(G52)&lt;=0,0,MIN(G52*(1+Plan!$C$14/12),Plan!$D$14+IF(Plan!$E$14=$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IF(N(H52)&lt;=0,0,MIN(H52*(1+Plan!$C$15/12),Plan!$D$15+IF(Plan!$E$15=$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IF(N(I52)&lt;=0,0,MIN(I52*(1+Plan!$C$16/12),Plan!$D$16+IF(Plan!$E$16=$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IF(N(J52)&lt;=0,0,MIN(J52*(1+Plan!$C$17/12),Plan!$D$17+IF(Plan!$E$17=$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IF(N(K52)&lt;=0,0,MIN(K52*(1+Plan!$C$18/12),Plan!$D$18+IF(Plan!$E$18=$L53,Plan!$B$5+IF(AND(N(Plan!$B$9)&gt;0,N(B52)&lt;=0),Plan!$D$9,0)+IF(AND(N(Plan!$B$10)&gt;0,N(C52)&lt;=0),Plan!$D$10,0)+IF(AND(N(Plan!$B$11)&gt;0,N(D52)&lt;=0),Plan!$D$11,0)+IF(AND(N(Plan!$B$12)&gt;0,N(E52)&lt;=0),Plan!$D$12,0)+IF(AND(N(Plan!$B$13)&gt;0,N(F52)&lt;=0),Plan!$D$13,0)+IF(AND(N(Plan!$B$14)&gt;0,N(G52)&lt;=0),Plan!$D$14,0)+IF(AND(N(Plan!$B$15)&gt;0,N(H52)&lt;=0),Plan!$D$15,0)+IF(AND(N(Plan!$B$16)&gt;0,N(I52)&lt;=0),Plan!$D$16,0)+IF(AND(N(Plan!$B$17)&gt;0,N(J52)&lt;=0),Plan!$D$17,0)+IF(AND(N(Plan!$B$18)&gt;0,N(K52)&lt;=0),Plan!$D$18,0),0)))</f>
        <v/>
      </c>
    </row>
    <row r="54">
      <c r="A54" s="17" t="n">
        <v>50</v>
      </c>
      <c r="B54" s="18">
        <f>IF(N(B53)&lt;=0,0,MAX(0,B53*(1+Plan!$C$9/12)-(Plan!$D$9+IF(Plan!$E$9=$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C54" s="18">
        <f>IF(N(C53)&lt;=0,0,MAX(0,C53*(1+Plan!$C$10/12)-(Plan!$D$10+IF(Plan!$E$10=$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D54" s="18">
        <f>IF(N(D53)&lt;=0,0,MAX(0,D53*(1+Plan!$C$11/12)-(Plan!$D$11+IF(Plan!$E$11=$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E54" s="18">
        <f>IF(N(E53)&lt;=0,0,MAX(0,E53*(1+Plan!$C$12/12)-(Plan!$D$12+IF(Plan!$E$12=$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F54" s="18">
        <f>IF(N(F53)&lt;=0,0,MAX(0,F53*(1+Plan!$C$13/12)-(Plan!$D$13+IF(Plan!$E$13=$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G54" s="18">
        <f>IF(N(G53)&lt;=0,0,MAX(0,G53*(1+Plan!$C$14/12)-(Plan!$D$14+IF(Plan!$E$14=$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H54" s="18">
        <f>IF(N(H53)&lt;=0,0,MAX(0,H53*(1+Plan!$C$15/12)-(Plan!$D$15+IF(Plan!$E$15=$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I54" s="18">
        <f>IF(N(I53)&lt;=0,0,MAX(0,I53*(1+Plan!$C$16/12)-(Plan!$D$16+IF(Plan!$E$16=$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J54" s="18">
        <f>IF(N(J53)&lt;=0,0,MAX(0,J53*(1+Plan!$C$17/12)-(Plan!$D$17+IF(Plan!$E$17=$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K54" s="18">
        <f>IF(N(K53)&lt;=0,0,MAX(0,K53*(1+Plan!$C$18/12)-(Plan!$D$18+IF(Plan!$E$18=$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c r="L54" s="19">
        <f>MIN(IF(N(B53)&gt;0,Plan!$E$9,999),IF(N(C53)&gt;0,Plan!$E$10,999),IF(N(D53)&gt;0,Plan!$E$11,999),IF(N(E53)&gt;0,Plan!$E$12,999),IF(N(F53)&gt;0,Plan!$E$13,999),IF(N(G53)&gt;0,Plan!$E$14,999),IF(N(H53)&gt;0,Plan!$E$15,999),IF(N(I53)&gt;0,Plan!$E$16,999),IF(N(J53)&gt;0,Plan!$E$17,999),IF(N(K53)&gt;0,Plan!$E$18,999))</f>
        <v/>
      </c>
      <c r="M54" s="18">
        <f>IF(N(B53)&lt;=0,0,MIN(B53*(1+Plan!$C$9/12),Plan!$D$9+IF(Plan!$E$9=$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IF(N(C53)&lt;=0,0,MIN(C53*(1+Plan!$C$10/12),Plan!$D$10+IF(Plan!$E$10=$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IF(N(D53)&lt;=0,0,MIN(D53*(1+Plan!$C$11/12),Plan!$D$11+IF(Plan!$E$11=$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IF(N(E53)&lt;=0,0,MIN(E53*(1+Plan!$C$12/12),Plan!$D$12+IF(Plan!$E$12=$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IF(N(F53)&lt;=0,0,MIN(F53*(1+Plan!$C$13/12),Plan!$D$13+IF(Plan!$E$13=$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IF(N(G53)&lt;=0,0,MIN(G53*(1+Plan!$C$14/12),Plan!$D$14+IF(Plan!$E$14=$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IF(N(H53)&lt;=0,0,MIN(H53*(1+Plan!$C$15/12),Plan!$D$15+IF(Plan!$E$15=$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IF(N(I53)&lt;=0,0,MIN(I53*(1+Plan!$C$16/12),Plan!$D$16+IF(Plan!$E$16=$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IF(N(J53)&lt;=0,0,MIN(J53*(1+Plan!$C$17/12),Plan!$D$17+IF(Plan!$E$17=$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IF(N(K53)&lt;=0,0,MIN(K53*(1+Plan!$C$18/12),Plan!$D$18+IF(Plan!$E$18=$L54,Plan!$B$5+IF(AND(N(Plan!$B$9)&gt;0,N(B53)&lt;=0),Plan!$D$9,0)+IF(AND(N(Plan!$B$10)&gt;0,N(C53)&lt;=0),Plan!$D$10,0)+IF(AND(N(Plan!$B$11)&gt;0,N(D53)&lt;=0),Plan!$D$11,0)+IF(AND(N(Plan!$B$12)&gt;0,N(E53)&lt;=0),Plan!$D$12,0)+IF(AND(N(Plan!$B$13)&gt;0,N(F53)&lt;=0),Plan!$D$13,0)+IF(AND(N(Plan!$B$14)&gt;0,N(G53)&lt;=0),Plan!$D$14,0)+IF(AND(N(Plan!$B$15)&gt;0,N(H53)&lt;=0),Plan!$D$15,0)+IF(AND(N(Plan!$B$16)&gt;0,N(I53)&lt;=0),Plan!$D$16,0)+IF(AND(N(Plan!$B$17)&gt;0,N(J53)&lt;=0),Plan!$D$17,0)+IF(AND(N(Plan!$B$18)&gt;0,N(K53)&lt;=0),Plan!$D$18,0),0)))</f>
        <v/>
      </c>
    </row>
    <row r="55">
      <c r="A55" s="17" t="n">
        <v>51</v>
      </c>
      <c r="B55" s="18">
        <f>IF(N(B54)&lt;=0,0,MAX(0,B54*(1+Plan!$C$9/12)-(Plan!$D$9+IF(Plan!$E$9=$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C55" s="18">
        <f>IF(N(C54)&lt;=0,0,MAX(0,C54*(1+Plan!$C$10/12)-(Plan!$D$10+IF(Plan!$E$10=$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D55" s="18">
        <f>IF(N(D54)&lt;=0,0,MAX(0,D54*(1+Plan!$C$11/12)-(Plan!$D$11+IF(Plan!$E$11=$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E55" s="18">
        <f>IF(N(E54)&lt;=0,0,MAX(0,E54*(1+Plan!$C$12/12)-(Plan!$D$12+IF(Plan!$E$12=$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F55" s="18">
        <f>IF(N(F54)&lt;=0,0,MAX(0,F54*(1+Plan!$C$13/12)-(Plan!$D$13+IF(Plan!$E$13=$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G55" s="18">
        <f>IF(N(G54)&lt;=0,0,MAX(0,G54*(1+Plan!$C$14/12)-(Plan!$D$14+IF(Plan!$E$14=$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H55" s="18">
        <f>IF(N(H54)&lt;=0,0,MAX(0,H54*(1+Plan!$C$15/12)-(Plan!$D$15+IF(Plan!$E$15=$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I55" s="18">
        <f>IF(N(I54)&lt;=0,0,MAX(0,I54*(1+Plan!$C$16/12)-(Plan!$D$16+IF(Plan!$E$16=$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J55" s="18">
        <f>IF(N(J54)&lt;=0,0,MAX(0,J54*(1+Plan!$C$17/12)-(Plan!$D$17+IF(Plan!$E$17=$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K55" s="18">
        <f>IF(N(K54)&lt;=0,0,MAX(0,K54*(1+Plan!$C$18/12)-(Plan!$D$18+IF(Plan!$E$18=$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c r="L55" s="19">
        <f>MIN(IF(N(B54)&gt;0,Plan!$E$9,999),IF(N(C54)&gt;0,Plan!$E$10,999),IF(N(D54)&gt;0,Plan!$E$11,999),IF(N(E54)&gt;0,Plan!$E$12,999),IF(N(F54)&gt;0,Plan!$E$13,999),IF(N(G54)&gt;0,Plan!$E$14,999),IF(N(H54)&gt;0,Plan!$E$15,999),IF(N(I54)&gt;0,Plan!$E$16,999),IF(N(J54)&gt;0,Plan!$E$17,999),IF(N(K54)&gt;0,Plan!$E$18,999))</f>
        <v/>
      </c>
      <c r="M55" s="18">
        <f>IF(N(B54)&lt;=0,0,MIN(B54*(1+Plan!$C$9/12),Plan!$D$9+IF(Plan!$E$9=$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IF(N(C54)&lt;=0,0,MIN(C54*(1+Plan!$C$10/12),Plan!$D$10+IF(Plan!$E$10=$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IF(N(D54)&lt;=0,0,MIN(D54*(1+Plan!$C$11/12),Plan!$D$11+IF(Plan!$E$11=$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IF(N(E54)&lt;=0,0,MIN(E54*(1+Plan!$C$12/12),Plan!$D$12+IF(Plan!$E$12=$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IF(N(F54)&lt;=0,0,MIN(F54*(1+Plan!$C$13/12),Plan!$D$13+IF(Plan!$E$13=$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IF(N(G54)&lt;=0,0,MIN(G54*(1+Plan!$C$14/12),Plan!$D$14+IF(Plan!$E$14=$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IF(N(H54)&lt;=0,0,MIN(H54*(1+Plan!$C$15/12),Plan!$D$15+IF(Plan!$E$15=$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IF(N(I54)&lt;=0,0,MIN(I54*(1+Plan!$C$16/12),Plan!$D$16+IF(Plan!$E$16=$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IF(N(J54)&lt;=0,0,MIN(J54*(1+Plan!$C$17/12),Plan!$D$17+IF(Plan!$E$17=$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IF(N(K54)&lt;=0,0,MIN(K54*(1+Plan!$C$18/12),Plan!$D$18+IF(Plan!$E$18=$L55,Plan!$B$5+IF(AND(N(Plan!$B$9)&gt;0,N(B54)&lt;=0),Plan!$D$9,0)+IF(AND(N(Plan!$B$10)&gt;0,N(C54)&lt;=0),Plan!$D$10,0)+IF(AND(N(Plan!$B$11)&gt;0,N(D54)&lt;=0),Plan!$D$11,0)+IF(AND(N(Plan!$B$12)&gt;0,N(E54)&lt;=0),Plan!$D$12,0)+IF(AND(N(Plan!$B$13)&gt;0,N(F54)&lt;=0),Plan!$D$13,0)+IF(AND(N(Plan!$B$14)&gt;0,N(G54)&lt;=0),Plan!$D$14,0)+IF(AND(N(Plan!$B$15)&gt;0,N(H54)&lt;=0),Plan!$D$15,0)+IF(AND(N(Plan!$B$16)&gt;0,N(I54)&lt;=0),Plan!$D$16,0)+IF(AND(N(Plan!$B$17)&gt;0,N(J54)&lt;=0),Plan!$D$17,0)+IF(AND(N(Plan!$B$18)&gt;0,N(K54)&lt;=0),Plan!$D$18,0),0)))</f>
        <v/>
      </c>
    </row>
    <row r="56">
      <c r="A56" s="17" t="n">
        <v>52</v>
      </c>
      <c r="B56" s="18">
        <f>IF(N(B55)&lt;=0,0,MAX(0,B55*(1+Plan!$C$9/12)-(Plan!$D$9+IF(Plan!$E$9=$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C56" s="18">
        <f>IF(N(C55)&lt;=0,0,MAX(0,C55*(1+Plan!$C$10/12)-(Plan!$D$10+IF(Plan!$E$10=$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D56" s="18">
        <f>IF(N(D55)&lt;=0,0,MAX(0,D55*(1+Plan!$C$11/12)-(Plan!$D$11+IF(Plan!$E$11=$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E56" s="18">
        <f>IF(N(E55)&lt;=0,0,MAX(0,E55*(1+Plan!$C$12/12)-(Plan!$D$12+IF(Plan!$E$12=$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F56" s="18">
        <f>IF(N(F55)&lt;=0,0,MAX(0,F55*(1+Plan!$C$13/12)-(Plan!$D$13+IF(Plan!$E$13=$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G56" s="18">
        <f>IF(N(G55)&lt;=0,0,MAX(0,G55*(1+Plan!$C$14/12)-(Plan!$D$14+IF(Plan!$E$14=$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H56" s="18">
        <f>IF(N(H55)&lt;=0,0,MAX(0,H55*(1+Plan!$C$15/12)-(Plan!$D$15+IF(Plan!$E$15=$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I56" s="18">
        <f>IF(N(I55)&lt;=0,0,MAX(0,I55*(1+Plan!$C$16/12)-(Plan!$D$16+IF(Plan!$E$16=$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J56" s="18">
        <f>IF(N(J55)&lt;=0,0,MAX(0,J55*(1+Plan!$C$17/12)-(Plan!$D$17+IF(Plan!$E$17=$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K56" s="18">
        <f>IF(N(K55)&lt;=0,0,MAX(0,K55*(1+Plan!$C$18/12)-(Plan!$D$18+IF(Plan!$E$18=$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c r="L56" s="19">
        <f>MIN(IF(N(B55)&gt;0,Plan!$E$9,999),IF(N(C55)&gt;0,Plan!$E$10,999),IF(N(D55)&gt;0,Plan!$E$11,999),IF(N(E55)&gt;0,Plan!$E$12,999),IF(N(F55)&gt;0,Plan!$E$13,999),IF(N(G55)&gt;0,Plan!$E$14,999),IF(N(H55)&gt;0,Plan!$E$15,999),IF(N(I55)&gt;0,Plan!$E$16,999),IF(N(J55)&gt;0,Plan!$E$17,999),IF(N(K55)&gt;0,Plan!$E$18,999))</f>
        <v/>
      </c>
      <c r="M56" s="18">
        <f>IF(N(B55)&lt;=0,0,MIN(B55*(1+Plan!$C$9/12),Plan!$D$9+IF(Plan!$E$9=$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IF(N(C55)&lt;=0,0,MIN(C55*(1+Plan!$C$10/12),Plan!$D$10+IF(Plan!$E$10=$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IF(N(D55)&lt;=0,0,MIN(D55*(1+Plan!$C$11/12),Plan!$D$11+IF(Plan!$E$11=$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IF(N(E55)&lt;=0,0,MIN(E55*(1+Plan!$C$12/12),Plan!$D$12+IF(Plan!$E$12=$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IF(N(F55)&lt;=0,0,MIN(F55*(1+Plan!$C$13/12),Plan!$D$13+IF(Plan!$E$13=$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IF(N(G55)&lt;=0,0,MIN(G55*(1+Plan!$C$14/12),Plan!$D$14+IF(Plan!$E$14=$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IF(N(H55)&lt;=0,0,MIN(H55*(1+Plan!$C$15/12),Plan!$D$15+IF(Plan!$E$15=$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IF(N(I55)&lt;=0,0,MIN(I55*(1+Plan!$C$16/12),Plan!$D$16+IF(Plan!$E$16=$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IF(N(J55)&lt;=0,0,MIN(J55*(1+Plan!$C$17/12),Plan!$D$17+IF(Plan!$E$17=$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IF(N(K55)&lt;=0,0,MIN(K55*(1+Plan!$C$18/12),Plan!$D$18+IF(Plan!$E$18=$L56,Plan!$B$5+IF(AND(N(Plan!$B$9)&gt;0,N(B55)&lt;=0),Plan!$D$9,0)+IF(AND(N(Plan!$B$10)&gt;0,N(C55)&lt;=0),Plan!$D$10,0)+IF(AND(N(Plan!$B$11)&gt;0,N(D55)&lt;=0),Plan!$D$11,0)+IF(AND(N(Plan!$B$12)&gt;0,N(E55)&lt;=0),Plan!$D$12,0)+IF(AND(N(Plan!$B$13)&gt;0,N(F55)&lt;=0),Plan!$D$13,0)+IF(AND(N(Plan!$B$14)&gt;0,N(G55)&lt;=0),Plan!$D$14,0)+IF(AND(N(Plan!$B$15)&gt;0,N(H55)&lt;=0),Plan!$D$15,0)+IF(AND(N(Plan!$B$16)&gt;0,N(I55)&lt;=0),Plan!$D$16,0)+IF(AND(N(Plan!$B$17)&gt;0,N(J55)&lt;=0),Plan!$D$17,0)+IF(AND(N(Plan!$B$18)&gt;0,N(K55)&lt;=0),Plan!$D$18,0),0)))</f>
        <v/>
      </c>
    </row>
    <row r="57">
      <c r="A57" s="17" t="n">
        <v>53</v>
      </c>
      <c r="B57" s="18">
        <f>IF(N(B56)&lt;=0,0,MAX(0,B56*(1+Plan!$C$9/12)-(Plan!$D$9+IF(Plan!$E$9=$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C57" s="18">
        <f>IF(N(C56)&lt;=0,0,MAX(0,C56*(1+Plan!$C$10/12)-(Plan!$D$10+IF(Plan!$E$10=$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D57" s="18">
        <f>IF(N(D56)&lt;=0,0,MAX(0,D56*(1+Plan!$C$11/12)-(Plan!$D$11+IF(Plan!$E$11=$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E57" s="18">
        <f>IF(N(E56)&lt;=0,0,MAX(0,E56*(1+Plan!$C$12/12)-(Plan!$D$12+IF(Plan!$E$12=$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F57" s="18">
        <f>IF(N(F56)&lt;=0,0,MAX(0,F56*(1+Plan!$C$13/12)-(Plan!$D$13+IF(Plan!$E$13=$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G57" s="18">
        <f>IF(N(G56)&lt;=0,0,MAX(0,G56*(1+Plan!$C$14/12)-(Plan!$D$14+IF(Plan!$E$14=$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H57" s="18">
        <f>IF(N(H56)&lt;=0,0,MAX(0,H56*(1+Plan!$C$15/12)-(Plan!$D$15+IF(Plan!$E$15=$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I57" s="18">
        <f>IF(N(I56)&lt;=0,0,MAX(0,I56*(1+Plan!$C$16/12)-(Plan!$D$16+IF(Plan!$E$16=$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J57" s="18">
        <f>IF(N(J56)&lt;=0,0,MAX(0,J56*(1+Plan!$C$17/12)-(Plan!$D$17+IF(Plan!$E$17=$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K57" s="18">
        <f>IF(N(K56)&lt;=0,0,MAX(0,K56*(1+Plan!$C$18/12)-(Plan!$D$18+IF(Plan!$E$18=$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c r="L57" s="19">
        <f>MIN(IF(N(B56)&gt;0,Plan!$E$9,999),IF(N(C56)&gt;0,Plan!$E$10,999),IF(N(D56)&gt;0,Plan!$E$11,999),IF(N(E56)&gt;0,Plan!$E$12,999),IF(N(F56)&gt;0,Plan!$E$13,999),IF(N(G56)&gt;0,Plan!$E$14,999),IF(N(H56)&gt;0,Plan!$E$15,999),IF(N(I56)&gt;0,Plan!$E$16,999),IF(N(J56)&gt;0,Plan!$E$17,999),IF(N(K56)&gt;0,Plan!$E$18,999))</f>
        <v/>
      </c>
      <c r="M57" s="18">
        <f>IF(N(B56)&lt;=0,0,MIN(B56*(1+Plan!$C$9/12),Plan!$D$9+IF(Plan!$E$9=$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IF(N(C56)&lt;=0,0,MIN(C56*(1+Plan!$C$10/12),Plan!$D$10+IF(Plan!$E$10=$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IF(N(D56)&lt;=0,0,MIN(D56*(1+Plan!$C$11/12),Plan!$D$11+IF(Plan!$E$11=$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IF(N(E56)&lt;=0,0,MIN(E56*(1+Plan!$C$12/12),Plan!$D$12+IF(Plan!$E$12=$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IF(N(F56)&lt;=0,0,MIN(F56*(1+Plan!$C$13/12),Plan!$D$13+IF(Plan!$E$13=$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IF(N(G56)&lt;=0,0,MIN(G56*(1+Plan!$C$14/12),Plan!$D$14+IF(Plan!$E$14=$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IF(N(H56)&lt;=0,0,MIN(H56*(1+Plan!$C$15/12),Plan!$D$15+IF(Plan!$E$15=$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IF(N(I56)&lt;=0,0,MIN(I56*(1+Plan!$C$16/12),Plan!$D$16+IF(Plan!$E$16=$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IF(N(J56)&lt;=0,0,MIN(J56*(1+Plan!$C$17/12),Plan!$D$17+IF(Plan!$E$17=$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IF(N(K56)&lt;=0,0,MIN(K56*(1+Plan!$C$18/12),Plan!$D$18+IF(Plan!$E$18=$L57,Plan!$B$5+IF(AND(N(Plan!$B$9)&gt;0,N(B56)&lt;=0),Plan!$D$9,0)+IF(AND(N(Plan!$B$10)&gt;0,N(C56)&lt;=0),Plan!$D$10,0)+IF(AND(N(Plan!$B$11)&gt;0,N(D56)&lt;=0),Plan!$D$11,0)+IF(AND(N(Plan!$B$12)&gt;0,N(E56)&lt;=0),Plan!$D$12,0)+IF(AND(N(Plan!$B$13)&gt;0,N(F56)&lt;=0),Plan!$D$13,0)+IF(AND(N(Plan!$B$14)&gt;0,N(G56)&lt;=0),Plan!$D$14,0)+IF(AND(N(Plan!$B$15)&gt;0,N(H56)&lt;=0),Plan!$D$15,0)+IF(AND(N(Plan!$B$16)&gt;0,N(I56)&lt;=0),Plan!$D$16,0)+IF(AND(N(Plan!$B$17)&gt;0,N(J56)&lt;=0),Plan!$D$17,0)+IF(AND(N(Plan!$B$18)&gt;0,N(K56)&lt;=0),Plan!$D$18,0),0)))</f>
        <v/>
      </c>
    </row>
    <row r="58">
      <c r="A58" s="17" t="n">
        <v>54</v>
      </c>
      <c r="B58" s="18">
        <f>IF(N(B57)&lt;=0,0,MAX(0,B57*(1+Plan!$C$9/12)-(Plan!$D$9+IF(Plan!$E$9=$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C58" s="18">
        <f>IF(N(C57)&lt;=0,0,MAX(0,C57*(1+Plan!$C$10/12)-(Plan!$D$10+IF(Plan!$E$10=$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D58" s="18">
        <f>IF(N(D57)&lt;=0,0,MAX(0,D57*(1+Plan!$C$11/12)-(Plan!$D$11+IF(Plan!$E$11=$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E58" s="18">
        <f>IF(N(E57)&lt;=0,0,MAX(0,E57*(1+Plan!$C$12/12)-(Plan!$D$12+IF(Plan!$E$12=$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F58" s="18">
        <f>IF(N(F57)&lt;=0,0,MAX(0,F57*(1+Plan!$C$13/12)-(Plan!$D$13+IF(Plan!$E$13=$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G58" s="18">
        <f>IF(N(G57)&lt;=0,0,MAX(0,G57*(1+Plan!$C$14/12)-(Plan!$D$14+IF(Plan!$E$14=$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H58" s="18">
        <f>IF(N(H57)&lt;=0,0,MAX(0,H57*(1+Plan!$C$15/12)-(Plan!$D$15+IF(Plan!$E$15=$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I58" s="18">
        <f>IF(N(I57)&lt;=0,0,MAX(0,I57*(1+Plan!$C$16/12)-(Plan!$D$16+IF(Plan!$E$16=$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J58" s="18">
        <f>IF(N(J57)&lt;=0,0,MAX(0,J57*(1+Plan!$C$17/12)-(Plan!$D$17+IF(Plan!$E$17=$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K58" s="18">
        <f>IF(N(K57)&lt;=0,0,MAX(0,K57*(1+Plan!$C$18/12)-(Plan!$D$18+IF(Plan!$E$18=$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c r="L58" s="19">
        <f>MIN(IF(N(B57)&gt;0,Plan!$E$9,999),IF(N(C57)&gt;0,Plan!$E$10,999),IF(N(D57)&gt;0,Plan!$E$11,999),IF(N(E57)&gt;0,Plan!$E$12,999),IF(N(F57)&gt;0,Plan!$E$13,999),IF(N(G57)&gt;0,Plan!$E$14,999),IF(N(H57)&gt;0,Plan!$E$15,999),IF(N(I57)&gt;0,Plan!$E$16,999),IF(N(J57)&gt;0,Plan!$E$17,999),IF(N(K57)&gt;0,Plan!$E$18,999))</f>
        <v/>
      </c>
      <c r="M58" s="18">
        <f>IF(N(B57)&lt;=0,0,MIN(B57*(1+Plan!$C$9/12),Plan!$D$9+IF(Plan!$E$9=$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IF(N(C57)&lt;=0,0,MIN(C57*(1+Plan!$C$10/12),Plan!$D$10+IF(Plan!$E$10=$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IF(N(D57)&lt;=0,0,MIN(D57*(1+Plan!$C$11/12),Plan!$D$11+IF(Plan!$E$11=$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IF(N(E57)&lt;=0,0,MIN(E57*(1+Plan!$C$12/12),Plan!$D$12+IF(Plan!$E$12=$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IF(N(F57)&lt;=0,0,MIN(F57*(1+Plan!$C$13/12),Plan!$D$13+IF(Plan!$E$13=$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IF(N(G57)&lt;=0,0,MIN(G57*(1+Plan!$C$14/12),Plan!$D$14+IF(Plan!$E$14=$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IF(N(H57)&lt;=0,0,MIN(H57*(1+Plan!$C$15/12),Plan!$D$15+IF(Plan!$E$15=$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IF(N(I57)&lt;=0,0,MIN(I57*(1+Plan!$C$16/12),Plan!$D$16+IF(Plan!$E$16=$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IF(N(J57)&lt;=0,0,MIN(J57*(1+Plan!$C$17/12),Plan!$D$17+IF(Plan!$E$17=$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IF(N(K57)&lt;=0,0,MIN(K57*(1+Plan!$C$18/12),Plan!$D$18+IF(Plan!$E$18=$L58,Plan!$B$5+IF(AND(N(Plan!$B$9)&gt;0,N(B57)&lt;=0),Plan!$D$9,0)+IF(AND(N(Plan!$B$10)&gt;0,N(C57)&lt;=0),Plan!$D$10,0)+IF(AND(N(Plan!$B$11)&gt;0,N(D57)&lt;=0),Plan!$D$11,0)+IF(AND(N(Plan!$B$12)&gt;0,N(E57)&lt;=0),Plan!$D$12,0)+IF(AND(N(Plan!$B$13)&gt;0,N(F57)&lt;=0),Plan!$D$13,0)+IF(AND(N(Plan!$B$14)&gt;0,N(G57)&lt;=0),Plan!$D$14,0)+IF(AND(N(Plan!$B$15)&gt;0,N(H57)&lt;=0),Plan!$D$15,0)+IF(AND(N(Plan!$B$16)&gt;0,N(I57)&lt;=0),Plan!$D$16,0)+IF(AND(N(Plan!$B$17)&gt;0,N(J57)&lt;=0),Plan!$D$17,0)+IF(AND(N(Plan!$B$18)&gt;0,N(K57)&lt;=0),Plan!$D$18,0),0)))</f>
        <v/>
      </c>
    </row>
    <row r="59">
      <c r="A59" s="17" t="n">
        <v>55</v>
      </c>
      <c r="B59" s="18">
        <f>IF(N(B58)&lt;=0,0,MAX(0,B58*(1+Plan!$C$9/12)-(Plan!$D$9+IF(Plan!$E$9=$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C59" s="18">
        <f>IF(N(C58)&lt;=0,0,MAX(0,C58*(1+Plan!$C$10/12)-(Plan!$D$10+IF(Plan!$E$10=$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D59" s="18">
        <f>IF(N(D58)&lt;=0,0,MAX(0,D58*(1+Plan!$C$11/12)-(Plan!$D$11+IF(Plan!$E$11=$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E59" s="18">
        <f>IF(N(E58)&lt;=0,0,MAX(0,E58*(1+Plan!$C$12/12)-(Plan!$D$12+IF(Plan!$E$12=$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F59" s="18">
        <f>IF(N(F58)&lt;=0,0,MAX(0,F58*(1+Plan!$C$13/12)-(Plan!$D$13+IF(Plan!$E$13=$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G59" s="18">
        <f>IF(N(G58)&lt;=0,0,MAX(0,G58*(1+Plan!$C$14/12)-(Plan!$D$14+IF(Plan!$E$14=$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H59" s="18">
        <f>IF(N(H58)&lt;=0,0,MAX(0,H58*(1+Plan!$C$15/12)-(Plan!$D$15+IF(Plan!$E$15=$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I59" s="18">
        <f>IF(N(I58)&lt;=0,0,MAX(0,I58*(1+Plan!$C$16/12)-(Plan!$D$16+IF(Plan!$E$16=$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J59" s="18">
        <f>IF(N(J58)&lt;=0,0,MAX(0,J58*(1+Plan!$C$17/12)-(Plan!$D$17+IF(Plan!$E$17=$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K59" s="18">
        <f>IF(N(K58)&lt;=0,0,MAX(0,K58*(1+Plan!$C$18/12)-(Plan!$D$18+IF(Plan!$E$18=$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c r="L59" s="19">
        <f>MIN(IF(N(B58)&gt;0,Plan!$E$9,999),IF(N(C58)&gt;0,Plan!$E$10,999),IF(N(D58)&gt;0,Plan!$E$11,999),IF(N(E58)&gt;0,Plan!$E$12,999),IF(N(F58)&gt;0,Plan!$E$13,999),IF(N(G58)&gt;0,Plan!$E$14,999),IF(N(H58)&gt;0,Plan!$E$15,999),IF(N(I58)&gt;0,Plan!$E$16,999),IF(N(J58)&gt;0,Plan!$E$17,999),IF(N(K58)&gt;0,Plan!$E$18,999))</f>
        <v/>
      </c>
      <c r="M59" s="18">
        <f>IF(N(B58)&lt;=0,0,MIN(B58*(1+Plan!$C$9/12),Plan!$D$9+IF(Plan!$E$9=$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IF(N(C58)&lt;=0,0,MIN(C58*(1+Plan!$C$10/12),Plan!$D$10+IF(Plan!$E$10=$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IF(N(D58)&lt;=0,0,MIN(D58*(1+Plan!$C$11/12),Plan!$D$11+IF(Plan!$E$11=$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IF(N(E58)&lt;=0,0,MIN(E58*(1+Plan!$C$12/12),Plan!$D$12+IF(Plan!$E$12=$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IF(N(F58)&lt;=0,0,MIN(F58*(1+Plan!$C$13/12),Plan!$D$13+IF(Plan!$E$13=$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IF(N(G58)&lt;=0,0,MIN(G58*(1+Plan!$C$14/12),Plan!$D$14+IF(Plan!$E$14=$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IF(N(H58)&lt;=0,0,MIN(H58*(1+Plan!$C$15/12),Plan!$D$15+IF(Plan!$E$15=$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IF(N(I58)&lt;=0,0,MIN(I58*(1+Plan!$C$16/12),Plan!$D$16+IF(Plan!$E$16=$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IF(N(J58)&lt;=0,0,MIN(J58*(1+Plan!$C$17/12),Plan!$D$17+IF(Plan!$E$17=$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IF(N(K58)&lt;=0,0,MIN(K58*(1+Plan!$C$18/12),Plan!$D$18+IF(Plan!$E$18=$L59,Plan!$B$5+IF(AND(N(Plan!$B$9)&gt;0,N(B58)&lt;=0),Plan!$D$9,0)+IF(AND(N(Plan!$B$10)&gt;0,N(C58)&lt;=0),Plan!$D$10,0)+IF(AND(N(Plan!$B$11)&gt;0,N(D58)&lt;=0),Plan!$D$11,0)+IF(AND(N(Plan!$B$12)&gt;0,N(E58)&lt;=0),Plan!$D$12,0)+IF(AND(N(Plan!$B$13)&gt;0,N(F58)&lt;=0),Plan!$D$13,0)+IF(AND(N(Plan!$B$14)&gt;0,N(G58)&lt;=0),Plan!$D$14,0)+IF(AND(N(Plan!$B$15)&gt;0,N(H58)&lt;=0),Plan!$D$15,0)+IF(AND(N(Plan!$B$16)&gt;0,N(I58)&lt;=0),Plan!$D$16,0)+IF(AND(N(Plan!$B$17)&gt;0,N(J58)&lt;=0),Plan!$D$17,0)+IF(AND(N(Plan!$B$18)&gt;0,N(K58)&lt;=0),Plan!$D$18,0),0)))</f>
        <v/>
      </c>
    </row>
    <row r="60">
      <c r="A60" s="17" t="n">
        <v>56</v>
      </c>
      <c r="B60" s="18">
        <f>IF(N(B59)&lt;=0,0,MAX(0,B59*(1+Plan!$C$9/12)-(Plan!$D$9+IF(Plan!$E$9=$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C60" s="18">
        <f>IF(N(C59)&lt;=0,0,MAX(0,C59*(1+Plan!$C$10/12)-(Plan!$D$10+IF(Plan!$E$10=$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D60" s="18">
        <f>IF(N(D59)&lt;=0,0,MAX(0,D59*(1+Plan!$C$11/12)-(Plan!$D$11+IF(Plan!$E$11=$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E60" s="18">
        <f>IF(N(E59)&lt;=0,0,MAX(0,E59*(1+Plan!$C$12/12)-(Plan!$D$12+IF(Plan!$E$12=$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F60" s="18">
        <f>IF(N(F59)&lt;=0,0,MAX(0,F59*(1+Plan!$C$13/12)-(Plan!$D$13+IF(Plan!$E$13=$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G60" s="18">
        <f>IF(N(G59)&lt;=0,0,MAX(0,G59*(1+Plan!$C$14/12)-(Plan!$D$14+IF(Plan!$E$14=$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H60" s="18">
        <f>IF(N(H59)&lt;=0,0,MAX(0,H59*(1+Plan!$C$15/12)-(Plan!$D$15+IF(Plan!$E$15=$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I60" s="18">
        <f>IF(N(I59)&lt;=0,0,MAX(0,I59*(1+Plan!$C$16/12)-(Plan!$D$16+IF(Plan!$E$16=$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J60" s="18">
        <f>IF(N(J59)&lt;=0,0,MAX(0,J59*(1+Plan!$C$17/12)-(Plan!$D$17+IF(Plan!$E$17=$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K60" s="18">
        <f>IF(N(K59)&lt;=0,0,MAX(0,K59*(1+Plan!$C$18/12)-(Plan!$D$18+IF(Plan!$E$18=$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c r="L60" s="19">
        <f>MIN(IF(N(B59)&gt;0,Plan!$E$9,999),IF(N(C59)&gt;0,Plan!$E$10,999),IF(N(D59)&gt;0,Plan!$E$11,999),IF(N(E59)&gt;0,Plan!$E$12,999),IF(N(F59)&gt;0,Plan!$E$13,999),IF(N(G59)&gt;0,Plan!$E$14,999),IF(N(H59)&gt;0,Plan!$E$15,999),IF(N(I59)&gt;0,Plan!$E$16,999),IF(N(J59)&gt;0,Plan!$E$17,999),IF(N(K59)&gt;0,Plan!$E$18,999))</f>
        <v/>
      </c>
      <c r="M60" s="18">
        <f>IF(N(B59)&lt;=0,0,MIN(B59*(1+Plan!$C$9/12),Plan!$D$9+IF(Plan!$E$9=$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IF(N(C59)&lt;=0,0,MIN(C59*(1+Plan!$C$10/12),Plan!$D$10+IF(Plan!$E$10=$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IF(N(D59)&lt;=0,0,MIN(D59*(1+Plan!$C$11/12),Plan!$D$11+IF(Plan!$E$11=$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IF(N(E59)&lt;=0,0,MIN(E59*(1+Plan!$C$12/12),Plan!$D$12+IF(Plan!$E$12=$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IF(N(F59)&lt;=0,0,MIN(F59*(1+Plan!$C$13/12),Plan!$D$13+IF(Plan!$E$13=$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IF(N(G59)&lt;=0,0,MIN(G59*(1+Plan!$C$14/12),Plan!$D$14+IF(Plan!$E$14=$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IF(N(H59)&lt;=0,0,MIN(H59*(1+Plan!$C$15/12),Plan!$D$15+IF(Plan!$E$15=$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IF(N(I59)&lt;=0,0,MIN(I59*(1+Plan!$C$16/12),Plan!$D$16+IF(Plan!$E$16=$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IF(N(J59)&lt;=0,0,MIN(J59*(1+Plan!$C$17/12),Plan!$D$17+IF(Plan!$E$17=$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IF(N(K59)&lt;=0,0,MIN(K59*(1+Plan!$C$18/12),Plan!$D$18+IF(Plan!$E$18=$L60,Plan!$B$5+IF(AND(N(Plan!$B$9)&gt;0,N(B59)&lt;=0),Plan!$D$9,0)+IF(AND(N(Plan!$B$10)&gt;0,N(C59)&lt;=0),Plan!$D$10,0)+IF(AND(N(Plan!$B$11)&gt;0,N(D59)&lt;=0),Plan!$D$11,0)+IF(AND(N(Plan!$B$12)&gt;0,N(E59)&lt;=0),Plan!$D$12,0)+IF(AND(N(Plan!$B$13)&gt;0,N(F59)&lt;=0),Plan!$D$13,0)+IF(AND(N(Plan!$B$14)&gt;0,N(G59)&lt;=0),Plan!$D$14,0)+IF(AND(N(Plan!$B$15)&gt;0,N(H59)&lt;=0),Plan!$D$15,0)+IF(AND(N(Plan!$B$16)&gt;0,N(I59)&lt;=0),Plan!$D$16,0)+IF(AND(N(Plan!$B$17)&gt;0,N(J59)&lt;=0),Plan!$D$17,0)+IF(AND(N(Plan!$B$18)&gt;0,N(K59)&lt;=0),Plan!$D$18,0),0)))</f>
        <v/>
      </c>
    </row>
    <row r="61">
      <c r="A61" s="17" t="n">
        <v>57</v>
      </c>
      <c r="B61" s="18">
        <f>IF(N(B60)&lt;=0,0,MAX(0,B60*(1+Plan!$C$9/12)-(Plan!$D$9+IF(Plan!$E$9=$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C61" s="18">
        <f>IF(N(C60)&lt;=0,0,MAX(0,C60*(1+Plan!$C$10/12)-(Plan!$D$10+IF(Plan!$E$10=$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D61" s="18">
        <f>IF(N(D60)&lt;=0,0,MAX(0,D60*(1+Plan!$C$11/12)-(Plan!$D$11+IF(Plan!$E$11=$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E61" s="18">
        <f>IF(N(E60)&lt;=0,0,MAX(0,E60*(1+Plan!$C$12/12)-(Plan!$D$12+IF(Plan!$E$12=$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F61" s="18">
        <f>IF(N(F60)&lt;=0,0,MAX(0,F60*(1+Plan!$C$13/12)-(Plan!$D$13+IF(Plan!$E$13=$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G61" s="18">
        <f>IF(N(G60)&lt;=0,0,MAX(0,G60*(1+Plan!$C$14/12)-(Plan!$D$14+IF(Plan!$E$14=$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H61" s="18">
        <f>IF(N(H60)&lt;=0,0,MAX(0,H60*(1+Plan!$C$15/12)-(Plan!$D$15+IF(Plan!$E$15=$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I61" s="18">
        <f>IF(N(I60)&lt;=0,0,MAX(0,I60*(1+Plan!$C$16/12)-(Plan!$D$16+IF(Plan!$E$16=$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J61" s="18">
        <f>IF(N(J60)&lt;=0,0,MAX(0,J60*(1+Plan!$C$17/12)-(Plan!$D$17+IF(Plan!$E$17=$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K61" s="18">
        <f>IF(N(K60)&lt;=0,0,MAX(0,K60*(1+Plan!$C$18/12)-(Plan!$D$18+IF(Plan!$E$18=$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c r="L61" s="19">
        <f>MIN(IF(N(B60)&gt;0,Plan!$E$9,999),IF(N(C60)&gt;0,Plan!$E$10,999),IF(N(D60)&gt;0,Plan!$E$11,999),IF(N(E60)&gt;0,Plan!$E$12,999),IF(N(F60)&gt;0,Plan!$E$13,999),IF(N(G60)&gt;0,Plan!$E$14,999),IF(N(H60)&gt;0,Plan!$E$15,999),IF(N(I60)&gt;0,Plan!$E$16,999),IF(N(J60)&gt;0,Plan!$E$17,999),IF(N(K60)&gt;0,Plan!$E$18,999))</f>
        <v/>
      </c>
      <c r="M61" s="18">
        <f>IF(N(B60)&lt;=0,0,MIN(B60*(1+Plan!$C$9/12),Plan!$D$9+IF(Plan!$E$9=$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IF(N(C60)&lt;=0,0,MIN(C60*(1+Plan!$C$10/12),Plan!$D$10+IF(Plan!$E$10=$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IF(N(D60)&lt;=0,0,MIN(D60*(1+Plan!$C$11/12),Plan!$D$11+IF(Plan!$E$11=$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IF(N(E60)&lt;=0,0,MIN(E60*(1+Plan!$C$12/12),Plan!$D$12+IF(Plan!$E$12=$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IF(N(F60)&lt;=0,0,MIN(F60*(1+Plan!$C$13/12),Plan!$D$13+IF(Plan!$E$13=$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IF(N(G60)&lt;=0,0,MIN(G60*(1+Plan!$C$14/12),Plan!$D$14+IF(Plan!$E$14=$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IF(N(H60)&lt;=0,0,MIN(H60*(1+Plan!$C$15/12),Plan!$D$15+IF(Plan!$E$15=$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IF(N(I60)&lt;=0,0,MIN(I60*(1+Plan!$C$16/12),Plan!$D$16+IF(Plan!$E$16=$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IF(N(J60)&lt;=0,0,MIN(J60*(1+Plan!$C$17/12),Plan!$D$17+IF(Plan!$E$17=$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IF(N(K60)&lt;=0,0,MIN(K60*(1+Plan!$C$18/12),Plan!$D$18+IF(Plan!$E$18=$L61,Plan!$B$5+IF(AND(N(Plan!$B$9)&gt;0,N(B60)&lt;=0),Plan!$D$9,0)+IF(AND(N(Plan!$B$10)&gt;0,N(C60)&lt;=0),Plan!$D$10,0)+IF(AND(N(Plan!$B$11)&gt;0,N(D60)&lt;=0),Plan!$D$11,0)+IF(AND(N(Plan!$B$12)&gt;0,N(E60)&lt;=0),Plan!$D$12,0)+IF(AND(N(Plan!$B$13)&gt;0,N(F60)&lt;=0),Plan!$D$13,0)+IF(AND(N(Plan!$B$14)&gt;0,N(G60)&lt;=0),Plan!$D$14,0)+IF(AND(N(Plan!$B$15)&gt;0,N(H60)&lt;=0),Plan!$D$15,0)+IF(AND(N(Plan!$B$16)&gt;0,N(I60)&lt;=0),Plan!$D$16,0)+IF(AND(N(Plan!$B$17)&gt;0,N(J60)&lt;=0),Plan!$D$17,0)+IF(AND(N(Plan!$B$18)&gt;0,N(K60)&lt;=0),Plan!$D$18,0),0)))</f>
        <v/>
      </c>
    </row>
    <row r="62">
      <c r="A62" s="17" t="n">
        <v>58</v>
      </c>
      <c r="B62" s="18">
        <f>IF(N(B61)&lt;=0,0,MAX(0,B61*(1+Plan!$C$9/12)-(Plan!$D$9+IF(Plan!$E$9=$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C62" s="18">
        <f>IF(N(C61)&lt;=0,0,MAX(0,C61*(1+Plan!$C$10/12)-(Plan!$D$10+IF(Plan!$E$10=$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D62" s="18">
        <f>IF(N(D61)&lt;=0,0,MAX(0,D61*(1+Plan!$C$11/12)-(Plan!$D$11+IF(Plan!$E$11=$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E62" s="18">
        <f>IF(N(E61)&lt;=0,0,MAX(0,E61*(1+Plan!$C$12/12)-(Plan!$D$12+IF(Plan!$E$12=$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F62" s="18">
        <f>IF(N(F61)&lt;=0,0,MAX(0,F61*(1+Plan!$C$13/12)-(Plan!$D$13+IF(Plan!$E$13=$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G62" s="18">
        <f>IF(N(G61)&lt;=0,0,MAX(0,G61*(1+Plan!$C$14/12)-(Plan!$D$14+IF(Plan!$E$14=$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H62" s="18">
        <f>IF(N(H61)&lt;=0,0,MAX(0,H61*(1+Plan!$C$15/12)-(Plan!$D$15+IF(Plan!$E$15=$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I62" s="18">
        <f>IF(N(I61)&lt;=0,0,MAX(0,I61*(1+Plan!$C$16/12)-(Plan!$D$16+IF(Plan!$E$16=$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J62" s="18">
        <f>IF(N(J61)&lt;=0,0,MAX(0,J61*(1+Plan!$C$17/12)-(Plan!$D$17+IF(Plan!$E$17=$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K62" s="18">
        <f>IF(N(K61)&lt;=0,0,MAX(0,K61*(1+Plan!$C$18/12)-(Plan!$D$18+IF(Plan!$E$18=$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c r="L62" s="19">
        <f>MIN(IF(N(B61)&gt;0,Plan!$E$9,999),IF(N(C61)&gt;0,Plan!$E$10,999),IF(N(D61)&gt;0,Plan!$E$11,999),IF(N(E61)&gt;0,Plan!$E$12,999),IF(N(F61)&gt;0,Plan!$E$13,999),IF(N(G61)&gt;0,Plan!$E$14,999),IF(N(H61)&gt;0,Plan!$E$15,999),IF(N(I61)&gt;0,Plan!$E$16,999),IF(N(J61)&gt;0,Plan!$E$17,999),IF(N(K61)&gt;0,Plan!$E$18,999))</f>
        <v/>
      </c>
      <c r="M62" s="18">
        <f>IF(N(B61)&lt;=0,0,MIN(B61*(1+Plan!$C$9/12),Plan!$D$9+IF(Plan!$E$9=$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IF(N(C61)&lt;=0,0,MIN(C61*(1+Plan!$C$10/12),Plan!$D$10+IF(Plan!$E$10=$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IF(N(D61)&lt;=0,0,MIN(D61*(1+Plan!$C$11/12),Plan!$D$11+IF(Plan!$E$11=$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IF(N(E61)&lt;=0,0,MIN(E61*(1+Plan!$C$12/12),Plan!$D$12+IF(Plan!$E$12=$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IF(N(F61)&lt;=0,0,MIN(F61*(1+Plan!$C$13/12),Plan!$D$13+IF(Plan!$E$13=$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IF(N(G61)&lt;=0,0,MIN(G61*(1+Plan!$C$14/12),Plan!$D$14+IF(Plan!$E$14=$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IF(N(H61)&lt;=0,0,MIN(H61*(1+Plan!$C$15/12),Plan!$D$15+IF(Plan!$E$15=$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IF(N(I61)&lt;=0,0,MIN(I61*(1+Plan!$C$16/12),Plan!$D$16+IF(Plan!$E$16=$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IF(N(J61)&lt;=0,0,MIN(J61*(1+Plan!$C$17/12),Plan!$D$17+IF(Plan!$E$17=$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IF(N(K61)&lt;=0,0,MIN(K61*(1+Plan!$C$18/12),Plan!$D$18+IF(Plan!$E$18=$L62,Plan!$B$5+IF(AND(N(Plan!$B$9)&gt;0,N(B61)&lt;=0),Plan!$D$9,0)+IF(AND(N(Plan!$B$10)&gt;0,N(C61)&lt;=0),Plan!$D$10,0)+IF(AND(N(Plan!$B$11)&gt;0,N(D61)&lt;=0),Plan!$D$11,0)+IF(AND(N(Plan!$B$12)&gt;0,N(E61)&lt;=0),Plan!$D$12,0)+IF(AND(N(Plan!$B$13)&gt;0,N(F61)&lt;=0),Plan!$D$13,0)+IF(AND(N(Plan!$B$14)&gt;0,N(G61)&lt;=0),Plan!$D$14,0)+IF(AND(N(Plan!$B$15)&gt;0,N(H61)&lt;=0),Plan!$D$15,0)+IF(AND(N(Plan!$B$16)&gt;0,N(I61)&lt;=0),Plan!$D$16,0)+IF(AND(N(Plan!$B$17)&gt;0,N(J61)&lt;=0),Plan!$D$17,0)+IF(AND(N(Plan!$B$18)&gt;0,N(K61)&lt;=0),Plan!$D$18,0),0)))</f>
        <v/>
      </c>
    </row>
    <row r="63">
      <c r="A63" s="17" t="n">
        <v>59</v>
      </c>
      <c r="B63" s="18">
        <f>IF(N(B62)&lt;=0,0,MAX(0,B62*(1+Plan!$C$9/12)-(Plan!$D$9+IF(Plan!$E$9=$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C63" s="18">
        <f>IF(N(C62)&lt;=0,0,MAX(0,C62*(1+Plan!$C$10/12)-(Plan!$D$10+IF(Plan!$E$10=$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D63" s="18">
        <f>IF(N(D62)&lt;=0,0,MAX(0,D62*(1+Plan!$C$11/12)-(Plan!$D$11+IF(Plan!$E$11=$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E63" s="18">
        <f>IF(N(E62)&lt;=0,0,MAX(0,E62*(1+Plan!$C$12/12)-(Plan!$D$12+IF(Plan!$E$12=$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F63" s="18">
        <f>IF(N(F62)&lt;=0,0,MAX(0,F62*(1+Plan!$C$13/12)-(Plan!$D$13+IF(Plan!$E$13=$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G63" s="18">
        <f>IF(N(G62)&lt;=0,0,MAX(0,G62*(1+Plan!$C$14/12)-(Plan!$D$14+IF(Plan!$E$14=$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H63" s="18">
        <f>IF(N(H62)&lt;=0,0,MAX(0,H62*(1+Plan!$C$15/12)-(Plan!$D$15+IF(Plan!$E$15=$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I63" s="18">
        <f>IF(N(I62)&lt;=0,0,MAX(0,I62*(1+Plan!$C$16/12)-(Plan!$D$16+IF(Plan!$E$16=$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J63" s="18">
        <f>IF(N(J62)&lt;=0,0,MAX(0,J62*(1+Plan!$C$17/12)-(Plan!$D$17+IF(Plan!$E$17=$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K63" s="18">
        <f>IF(N(K62)&lt;=0,0,MAX(0,K62*(1+Plan!$C$18/12)-(Plan!$D$18+IF(Plan!$E$18=$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c r="L63" s="19">
        <f>MIN(IF(N(B62)&gt;0,Plan!$E$9,999),IF(N(C62)&gt;0,Plan!$E$10,999),IF(N(D62)&gt;0,Plan!$E$11,999),IF(N(E62)&gt;0,Plan!$E$12,999),IF(N(F62)&gt;0,Plan!$E$13,999),IF(N(G62)&gt;0,Plan!$E$14,999),IF(N(H62)&gt;0,Plan!$E$15,999),IF(N(I62)&gt;0,Plan!$E$16,999),IF(N(J62)&gt;0,Plan!$E$17,999),IF(N(K62)&gt;0,Plan!$E$18,999))</f>
        <v/>
      </c>
      <c r="M63" s="18">
        <f>IF(N(B62)&lt;=0,0,MIN(B62*(1+Plan!$C$9/12),Plan!$D$9+IF(Plan!$E$9=$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IF(N(C62)&lt;=0,0,MIN(C62*(1+Plan!$C$10/12),Plan!$D$10+IF(Plan!$E$10=$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IF(N(D62)&lt;=0,0,MIN(D62*(1+Plan!$C$11/12),Plan!$D$11+IF(Plan!$E$11=$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IF(N(E62)&lt;=0,0,MIN(E62*(1+Plan!$C$12/12),Plan!$D$12+IF(Plan!$E$12=$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IF(N(F62)&lt;=0,0,MIN(F62*(1+Plan!$C$13/12),Plan!$D$13+IF(Plan!$E$13=$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IF(N(G62)&lt;=0,0,MIN(G62*(1+Plan!$C$14/12),Plan!$D$14+IF(Plan!$E$14=$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IF(N(H62)&lt;=0,0,MIN(H62*(1+Plan!$C$15/12),Plan!$D$15+IF(Plan!$E$15=$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IF(N(I62)&lt;=0,0,MIN(I62*(1+Plan!$C$16/12),Plan!$D$16+IF(Plan!$E$16=$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IF(N(J62)&lt;=0,0,MIN(J62*(1+Plan!$C$17/12),Plan!$D$17+IF(Plan!$E$17=$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IF(N(K62)&lt;=0,0,MIN(K62*(1+Plan!$C$18/12),Plan!$D$18+IF(Plan!$E$18=$L63,Plan!$B$5+IF(AND(N(Plan!$B$9)&gt;0,N(B62)&lt;=0),Plan!$D$9,0)+IF(AND(N(Plan!$B$10)&gt;0,N(C62)&lt;=0),Plan!$D$10,0)+IF(AND(N(Plan!$B$11)&gt;0,N(D62)&lt;=0),Plan!$D$11,0)+IF(AND(N(Plan!$B$12)&gt;0,N(E62)&lt;=0),Plan!$D$12,0)+IF(AND(N(Plan!$B$13)&gt;0,N(F62)&lt;=0),Plan!$D$13,0)+IF(AND(N(Plan!$B$14)&gt;0,N(G62)&lt;=0),Plan!$D$14,0)+IF(AND(N(Plan!$B$15)&gt;0,N(H62)&lt;=0),Plan!$D$15,0)+IF(AND(N(Plan!$B$16)&gt;0,N(I62)&lt;=0),Plan!$D$16,0)+IF(AND(N(Plan!$B$17)&gt;0,N(J62)&lt;=0),Plan!$D$17,0)+IF(AND(N(Plan!$B$18)&gt;0,N(K62)&lt;=0),Plan!$D$18,0),0)))</f>
        <v/>
      </c>
    </row>
    <row r="64">
      <c r="A64" s="17" t="n">
        <v>60</v>
      </c>
      <c r="B64" s="18">
        <f>IF(N(B63)&lt;=0,0,MAX(0,B63*(1+Plan!$C$9/12)-(Plan!$D$9+IF(Plan!$E$9=$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C64" s="18">
        <f>IF(N(C63)&lt;=0,0,MAX(0,C63*(1+Plan!$C$10/12)-(Plan!$D$10+IF(Plan!$E$10=$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D64" s="18">
        <f>IF(N(D63)&lt;=0,0,MAX(0,D63*(1+Plan!$C$11/12)-(Plan!$D$11+IF(Plan!$E$11=$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E64" s="18">
        <f>IF(N(E63)&lt;=0,0,MAX(0,E63*(1+Plan!$C$12/12)-(Plan!$D$12+IF(Plan!$E$12=$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F64" s="18">
        <f>IF(N(F63)&lt;=0,0,MAX(0,F63*(1+Plan!$C$13/12)-(Plan!$D$13+IF(Plan!$E$13=$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G64" s="18">
        <f>IF(N(G63)&lt;=0,0,MAX(0,G63*(1+Plan!$C$14/12)-(Plan!$D$14+IF(Plan!$E$14=$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H64" s="18">
        <f>IF(N(H63)&lt;=0,0,MAX(0,H63*(1+Plan!$C$15/12)-(Plan!$D$15+IF(Plan!$E$15=$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I64" s="18">
        <f>IF(N(I63)&lt;=0,0,MAX(0,I63*(1+Plan!$C$16/12)-(Plan!$D$16+IF(Plan!$E$16=$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J64" s="18">
        <f>IF(N(J63)&lt;=0,0,MAX(0,J63*(1+Plan!$C$17/12)-(Plan!$D$17+IF(Plan!$E$17=$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K64" s="18">
        <f>IF(N(K63)&lt;=0,0,MAX(0,K63*(1+Plan!$C$18/12)-(Plan!$D$18+IF(Plan!$E$18=$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c r="L64" s="19">
        <f>MIN(IF(N(B63)&gt;0,Plan!$E$9,999),IF(N(C63)&gt;0,Plan!$E$10,999),IF(N(D63)&gt;0,Plan!$E$11,999),IF(N(E63)&gt;0,Plan!$E$12,999),IF(N(F63)&gt;0,Plan!$E$13,999),IF(N(G63)&gt;0,Plan!$E$14,999),IF(N(H63)&gt;0,Plan!$E$15,999),IF(N(I63)&gt;0,Plan!$E$16,999),IF(N(J63)&gt;0,Plan!$E$17,999),IF(N(K63)&gt;0,Plan!$E$18,999))</f>
        <v/>
      </c>
      <c r="M64" s="18">
        <f>IF(N(B63)&lt;=0,0,MIN(B63*(1+Plan!$C$9/12),Plan!$D$9+IF(Plan!$E$9=$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IF(N(C63)&lt;=0,0,MIN(C63*(1+Plan!$C$10/12),Plan!$D$10+IF(Plan!$E$10=$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IF(N(D63)&lt;=0,0,MIN(D63*(1+Plan!$C$11/12),Plan!$D$11+IF(Plan!$E$11=$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IF(N(E63)&lt;=0,0,MIN(E63*(1+Plan!$C$12/12),Plan!$D$12+IF(Plan!$E$12=$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IF(N(F63)&lt;=0,0,MIN(F63*(1+Plan!$C$13/12),Plan!$D$13+IF(Plan!$E$13=$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IF(N(G63)&lt;=0,0,MIN(G63*(1+Plan!$C$14/12),Plan!$D$14+IF(Plan!$E$14=$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IF(N(H63)&lt;=0,0,MIN(H63*(1+Plan!$C$15/12),Plan!$D$15+IF(Plan!$E$15=$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IF(N(I63)&lt;=0,0,MIN(I63*(1+Plan!$C$16/12),Plan!$D$16+IF(Plan!$E$16=$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IF(N(J63)&lt;=0,0,MIN(J63*(1+Plan!$C$17/12),Plan!$D$17+IF(Plan!$E$17=$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IF(N(K63)&lt;=0,0,MIN(K63*(1+Plan!$C$18/12),Plan!$D$18+IF(Plan!$E$18=$L64,Plan!$B$5+IF(AND(N(Plan!$B$9)&gt;0,N(B63)&lt;=0),Plan!$D$9,0)+IF(AND(N(Plan!$B$10)&gt;0,N(C63)&lt;=0),Plan!$D$10,0)+IF(AND(N(Plan!$B$11)&gt;0,N(D63)&lt;=0),Plan!$D$11,0)+IF(AND(N(Plan!$B$12)&gt;0,N(E63)&lt;=0),Plan!$D$12,0)+IF(AND(N(Plan!$B$13)&gt;0,N(F63)&lt;=0),Plan!$D$13,0)+IF(AND(N(Plan!$B$14)&gt;0,N(G63)&lt;=0),Plan!$D$14,0)+IF(AND(N(Plan!$B$15)&gt;0,N(H63)&lt;=0),Plan!$D$15,0)+IF(AND(N(Plan!$B$16)&gt;0,N(I63)&lt;=0),Plan!$D$16,0)+IF(AND(N(Plan!$B$17)&gt;0,N(J63)&lt;=0),Plan!$D$17,0)+IF(AND(N(Plan!$B$18)&gt;0,N(K63)&lt;=0),Plan!$D$18,0),0)))</f>
        <v/>
      </c>
    </row>
    <row r="65">
      <c r="A65" s="17" t="n">
        <v>61</v>
      </c>
      <c r="B65" s="18">
        <f>IF(N(B64)&lt;=0,0,MAX(0,B64*(1+Plan!$C$9/12)-(Plan!$D$9+IF(Plan!$E$9=$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C65" s="18">
        <f>IF(N(C64)&lt;=0,0,MAX(0,C64*(1+Plan!$C$10/12)-(Plan!$D$10+IF(Plan!$E$10=$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D65" s="18">
        <f>IF(N(D64)&lt;=0,0,MAX(0,D64*(1+Plan!$C$11/12)-(Plan!$D$11+IF(Plan!$E$11=$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E65" s="18">
        <f>IF(N(E64)&lt;=0,0,MAX(0,E64*(1+Plan!$C$12/12)-(Plan!$D$12+IF(Plan!$E$12=$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F65" s="18">
        <f>IF(N(F64)&lt;=0,0,MAX(0,F64*(1+Plan!$C$13/12)-(Plan!$D$13+IF(Plan!$E$13=$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G65" s="18">
        <f>IF(N(G64)&lt;=0,0,MAX(0,G64*(1+Plan!$C$14/12)-(Plan!$D$14+IF(Plan!$E$14=$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H65" s="18">
        <f>IF(N(H64)&lt;=0,0,MAX(0,H64*(1+Plan!$C$15/12)-(Plan!$D$15+IF(Plan!$E$15=$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I65" s="18">
        <f>IF(N(I64)&lt;=0,0,MAX(0,I64*(1+Plan!$C$16/12)-(Plan!$D$16+IF(Plan!$E$16=$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J65" s="18">
        <f>IF(N(J64)&lt;=0,0,MAX(0,J64*(1+Plan!$C$17/12)-(Plan!$D$17+IF(Plan!$E$17=$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K65" s="18">
        <f>IF(N(K64)&lt;=0,0,MAX(0,K64*(1+Plan!$C$18/12)-(Plan!$D$18+IF(Plan!$E$18=$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c r="L65" s="19">
        <f>MIN(IF(N(B64)&gt;0,Plan!$E$9,999),IF(N(C64)&gt;0,Plan!$E$10,999),IF(N(D64)&gt;0,Plan!$E$11,999),IF(N(E64)&gt;0,Plan!$E$12,999),IF(N(F64)&gt;0,Plan!$E$13,999),IF(N(G64)&gt;0,Plan!$E$14,999),IF(N(H64)&gt;0,Plan!$E$15,999),IF(N(I64)&gt;0,Plan!$E$16,999),IF(N(J64)&gt;0,Plan!$E$17,999),IF(N(K64)&gt;0,Plan!$E$18,999))</f>
        <v/>
      </c>
      <c r="M65" s="18">
        <f>IF(N(B64)&lt;=0,0,MIN(B64*(1+Plan!$C$9/12),Plan!$D$9+IF(Plan!$E$9=$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IF(N(C64)&lt;=0,0,MIN(C64*(1+Plan!$C$10/12),Plan!$D$10+IF(Plan!$E$10=$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IF(N(D64)&lt;=0,0,MIN(D64*(1+Plan!$C$11/12),Plan!$D$11+IF(Plan!$E$11=$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IF(N(E64)&lt;=0,0,MIN(E64*(1+Plan!$C$12/12),Plan!$D$12+IF(Plan!$E$12=$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IF(N(F64)&lt;=0,0,MIN(F64*(1+Plan!$C$13/12),Plan!$D$13+IF(Plan!$E$13=$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IF(N(G64)&lt;=0,0,MIN(G64*(1+Plan!$C$14/12),Plan!$D$14+IF(Plan!$E$14=$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IF(N(H64)&lt;=0,0,MIN(H64*(1+Plan!$C$15/12),Plan!$D$15+IF(Plan!$E$15=$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IF(N(I64)&lt;=0,0,MIN(I64*(1+Plan!$C$16/12),Plan!$D$16+IF(Plan!$E$16=$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IF(N(J64)&lt;=0,0,MIN(J64*(1+Plan!$C$17/12),Plan!$D$17+IF(Plan!$E$17=$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IF(N(K64)&lt;=0,0,MIN(K64*(1+Plan!$C$18/12),Plan!$D$18+IF(Plan!$E$18=$L65,Plan!$B$5+IF(AND(N(Plan!$B$9)&gt;0,N(B64)&lt;=0),Plan!$D$9,0)+IF(AND(N(Plan!$B$10)&gt;0,N(C64)&lt;=0),Plan!$D$10,0)+IF(AND(N(Plan!$B$11)&gt;0,N(D64)&lt;=0),Plan!$D$11,0)+IF(AND(N(Plan!$B$12)&gt;0,N(E64)&lt;=0),Plan!$D$12,0)+IF(AND(N(Plan!$B$13)&gt;0,N(F64)&lt;=0),Plan!$D$13,0)+IF(AND(N(Plan!$B$14)&gt;0,N(G64)&lt;=0),Plan!$D$14,0)+IF(AND(N(Plan!$B$15)&gt;0,N(H64)&lt;=0),Plan!$D$15,0)+IF(AND(N(Plan!$B$16)&gt;0,N(I64)&lt;=0),Plan!$D$16,0)+IF(AND(N(Plan!$B$17)&gt;0,N(J64)&lt;=0),Plan!$D$17,0)+IF(AND(N(Plan!$B$18)&gt;0,N(K64)&lt;=0),Plan!$D$18,0),0)))</f>
        <v/>
      </c>
    </row>
    <row r="66">
      <c r="A66" s="17" t="n">
        <v>62</v>
      </c>
      <c r="B66" s="18">
        <f>IF(N(B65)&lt;=0,0,MAX(0,B65*(1+Plan!$C$9/12)-(Plan!$D$9+IF(Plan!$E$9=$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C66" s="18">
        <f>IF(N(C65)&lt;=0,0,MAX(0,C65*(1+Plan!$C$10/12)-(Plan!$D$10+IF(Plan!$E$10=$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D66" s="18">
        <f>IF(N(D65)&lt;=0,0,MAX(0,D65*(1+Plan!$C$11/12)-(Plan!$D$11+IF(Plan!$E$11=$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E66" s="18">
        <f>IF(N(E65)&lt;=0,0,MAX(0,E65*(1+Plan!$C$12/12)-(Plan!$D$12+IF(Plan!$E$12=$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F66" s="18">
        <f>IF(N(F65)&lt;=0,0,MAX(0,F65*(1+Plan!$C$13/12)-(Plan!$D$13+IF(Plan!$E$13=$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G66" s="18">
        <f>IF(N(G65)&lt;=0,0,MAX(0,G65*(1+Plan!$C$14/12)-(Plan!$D$14+IF(Plan!$E$14=$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H66" s="18">
        <f>IF(N(H65)&lt;=0,0,MAX(0,H65*(1+Plan!$C$15/12)-(Plan!$D$15+IF(Plan!$E$15=$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I66" s="18">
        <f>IF(N(I65)&lt;=0,0,MAX(0,I65*(1+Plan!$C$16/12)-(Plan!$D$16+IF(Plan!$E$16=$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J66" s="18">
        <f>IF(N(J65)&lt;=0,0,MAX(0,J65*(1+Plan!$C$17/12)-(Plan!$D$17+IF(Plan!$E$17=$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K66" s="18">
        <f>IF(N(K65)&lt;=0,0,MAX(0,K65*(1+Plan!$C$18/12)-(Plan!$D$18+IF(Plan!$E$18=$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c r="L66" s="19">
        <f>MIN(IF(N(B65)&gt;0,Plan!$E$9,999),IF(N(C65)&gt;0,Plan!$E$10,999),IF(N(D65)&gt;0,Plan!$E$11,999),IF(N(E65)&gt;0,Plan!$E$12,999),IF(N(F65)&gt;0,Plan!$E$13,999),IF(N(G65)&gt;0,Plan!$E$14,999),IF(N(H65)&gt;0,Plan!$E$15,999),IF(N(I65)&gt;0,Plan!$E$16,999),IF(N(J65)&gt;0,Plan!$E$17,999),IF(N(K65)&gt;0,Plan!$E$18,999))</f>
        <v/>
      </c>
      <c r="M66" s="18">
        <f>IF(N(B65)&lt;=0,0,MIN(B65*(1+Plan!$C$9/12),Plan!$D$9+IF(Plan!$E$9=$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IF(N(C65)&lt;=0,0,MIN(C65*(1+Plan!$C$10/12),Plan!$D$10+IF(Plan!$E$10=$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IF(N(D65)&lt;=0,0,MIN(D65*(1+Plan!$C$11/12),Plan!$D$11+IF(Plan!$E$11=$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IF(N(E65)&lt;=0,0,MIN(E65*(1+Plan!$C$12/12),Plan!$D$12+IF(Plan!$E$12=$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IF(N(F65)&lt;=0,0,MIN(F65*(1+Plan!$C$13/12),Plan!$D$13+IF(Plan!$E$13=$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IF(N(G65)&lt;=0,0,MIN(G65*(1+Plan!$C$14/12),Plan!$D$14+IF(Plan!$E$14=$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IF(N(H65)&lt;=0,0,MIN(H65*(1+Plan!$C$15/12),Plan!$D$15+IF(Plan!$E$15=$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IF(N(I65)&lt;=0,0,MIN(I65*(1+Plan!$C$16/12),Plan!$D$16+IF(Plan!$E$16=$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IF(N(J65)&lt;=0,0,MIN(J65*(1+Plan!$C$17/12),Plan!$D$17+IF(Plan!$E$17=$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IF(N(K65)&lt;=0,0,MIN(K65*(1+Plan!$C$18/12),Plan!$D$18+IF(Plan!$E$18=$L66,Plan!$B$5+IF(AND(N(Plan!$B$9)&gt;0,N(B65)&lt;=0),Plan!$D$9,0)+IF(AND(N(Plan!$B$10)&gt;0,N(C65)&lt;=0),Plan!$D$10,0)+IF(AND(N(Plan!$B$11)&gt;0,N(D65)&lt;=0),Plan!$D$11,0)+IF(AND(N(Plan!$B$12)&gt;0,N(E65)&lt;=0),Plan!$D$12,0)+IF(AND(N(Plan!$B$13)&gt;0,N(F65)&lt;=0),Plan!$D$13,0)+IF(AND(N(Plan!$B$14)&gt;0,N(G65)&lt;=0),Plan!$D$14,0)+IF(AND(N(Plan!$B$15)&gt;0,N(H65)&lt;=0),Plan!$D$15,0)+IF(AND(N(Plan!$B$16)&gt;0,N(I65)&lt;=0),Plan!$D$16,0)+IF(AND(N(Plan!$B$17)&gt;0,N(J65)&lt;=0),Plan!$D$17,0)+IF(AND(N(Plan!$B$18)&gt;0,N(K65)&lt;=0),Plan!$D$18,0),0)))</f>
        <v/>
      </c>
    </row>
    <row r="67">
      <c r="A67" s="17" t="n">
        <v>63</v>
      </c>
      <c r="B67" s="18">
        <f>IF(N(B66)&lt;=0,0,MAX(0,B66*(1+Plan!$C$9/12)-(Plan!$D$9+IF(Plan!$E$9=$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C67" s="18">
        <f>IF(N(C66)&lt;=0,0,MAX(0,C66*(1+Plan!$C$10/12)-(Plan!$D$10+IF(Plan!$E$10=$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D67" s="18">
        <f>IF(N(D66)&lt;=0,0,MAX(0,D66*(1+Plan!$C$11/12)-(Plan!$D$11+IF(Plan!$E$11=$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E67" s="18">
        <f>IF(N(E66)&lt;=0,0,MAX(0,E66*(1+Plan!$C$12/12)-(Plan!$D$12+IF(Plan!$E$12=$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F67" s="18">
        <f>IF(N(F66)&lt;=0,0,MAX(0,F66*(1+Plan!$C$13/12)-(Plan!$D$13+IF(Plan!$E$13=$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G67" s="18">
        <f>IF(N(G66)&lt;=0,0,MAX(0,G66*(1+Plan!$C$14/12)-(Plan!$D$14+IF(Plan!$E$14=$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H67" s="18">
        <f>IF(N(H66)&lt;=0,0,MAX(0,H66*(1+Plan!$C$15/12)-(Plan!$D$15+IF(Plan!$E$15=$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I67" s="18">
        <f>IF(N(I66)&lt;=0,0,MAX(0,I66*(1+Plan!$C$16/12)-(Plan!$D$16+IF(Plan!$E$16=$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J67" s="18">
        <f>IF(N(J66)&lt;=0,0,MAX(0,J66*(1+Plan!$C$17/12)-(Plan!$D$17+IF(Plan!$E$17=$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K67" s="18">
        <f>IF(N(K66)&lt;=0,0,MAX(0,K66*(1+Plan!$C$18/12)-(Plan!$D$18+IF(Plan!$E$18=$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c r="L67" s="19">
        <f>MIN(IF(N(B66)&gt;0,Plan!$E$9,999),IF(N(C66)&gt;0,Plan!$E$10,999),IF(N(D66)&gt;0,Plan!$E$11,999),IF(N(E66)&gt;0,Plan!$E$12,999),IF(N(F66)&gt;0,Plan!$E$13,999),IF(N(G66)&gt;0,Plan!$E$14,999),IF(N(H66)&gt;0,Plan!$E$15,999),IF(N(I66)&gt;0,Plan!$E$16,999),IF(N(J66)&gt;0,Plan!$E$17,999),IF(N(K66)&gt;0,Plan!$E$18,999))</f>
        <v/>
      </c>
      <c r="M67" s="18">
        <f>IF(N(B66)&lt;=0,0,MIN(B66*(1+Plan!$C$9/12),Plan!$D$9+IF(Plan!$E$9=$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IF(N(C66)&lt;=0,0,MIN(C66*(1+Plan!$C$10/12),Plan!$D$10+IF(Plan!$E$10=$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IF(N(D66)&lt;=0,0,MIN(D66*(1+Plan!$C$11/12),Plan!$D$11+IF(Plan!$E$11=$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IF(N(E66)&lt;=0,0,MIN(E66*(1+Plan!$C$12/12),Plan!$D$12+IF(Plan!$E$12=$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IF(N(F66)&lt;=0,0,MIN(F66*(1+Plan!$C$13/12),Plan!$D$13+IF(Plan!$E$13=$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IF(N(G66)&lt;=0,0,MIN(G66*(1+Plan!$C$14/12),Plan!$D$14+IF(Plan!$E$14=$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IF(N(H66)&lt;=0,0,MIN(H66*(1+Plan!$C$15/12),Plan!$D$15+IF(Plan!$E$15=$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IF(N(I66)&lt;=0,0,MIN(I66*(1+Plan!$C$16/12),Plan!$D$16+IF(Plan!$E$16=$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IF(N(J66)&lt;=0,0,MIN(J66*(1+Plan!$C$17/12),Plan!$D$17+IF(Plan!$E$17=$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IF(N(K66)&lt;=0,0,MIN(K66*(1+Plan!$C$18/12),Plan!$D$18+IF(Plan!$E$18=$L67,Plan!$B$5+IF(AND(N(Plan!$B$9)&gt;0,N(B66)&lt;=0),Plan!$D$9,0)+IF(AND(N(Plan!$B$10)&gt;0,N(C66)&lt;=0),Plan!$D$10,0)+IF(AND(N(Plan!$B$11)&gt;0,N(D66)&lt;=0),Plan!$D$11,0)+IF(AND(N(Plan!$B$12)&gt;0,N(E66)&lt;=0),Plan!$D$12,0)+IF(AND(N(Plan!$B$13)&gt;0,N(F66)&lt;=0),Plan!$D$13,0)+IF(AND(N(Plan!$B$14)&gt;0,N(G66)&lt;=0),Plan!$D$14,0)+IF(AND(N(Plan!$B$15)&gt;0,N(H66)&lt;=0),Plan!$D$15,0)+IF(AND(N(Plan!$B$16)&gt;0,N(I66)&lt;=0),Plan!$D$16,0)+IF(AND(N(Plan!$B$17)&gt;0,N(J66)&lt;=0),Plan!$D$17,0)+IF(AND(N(Plan!$B$18)&gt;0,N(K66)&lt;=0),Plan!$D$18,0),0)))</f>
        <v/>
      </c>
    </row>
    <row r="68">
      <c r="A68" s="17" t="n">
        <v>64</v>
      </c>
      <c r="B68" s="18">
        <f>IF(N(B67)&lt;=0,0,MAX(0,B67*(1+Plan!$C$9/12)-(Plan!$D$9+IF(Plan!$E$9=$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C68" s="18">
        <f>IF(N(C67)&lt;=0,0,MAX(0,C67*(1+Plan!$C$10/12)-(Plan!$D$10+IF(Plan!$E$10=$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D68" s="18">
        <f>IF(N(D67)&lt;=0,0,MAX(0,D67*(1+Plan!$C$11/12)-(Plan!$D$11+IF(Plan!$E$11=$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E68" s="18">
        <f>IF(N(E67)&lt;=0,0,MAX(0,E67*(1+Plan!$C$12/12)-(Plan!$D$12+IF(Plan!$E$12=$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F68" s="18">
        <f>IF(N(F67)&lt;=0,0,MAX(0,F67*(1+Plan!$C$13/12)-(Plan!$D$13+IF(Plan!$E$13=$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G68" s="18">
        <f>IF(N(G67)&lt;=0,0,MAX(0,G67*(1+Plan!$C$14/12)-(Plan!$D$14+IF(Plan!$E$14=$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H68" s="18">
        <f>IF(N(H67)&lt;=0,0,MAX(0,H67*(1+Plan!$C$15/12)-(Plan!$D$15+IF(Plan!$E$15=$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I68" s="18">
        <f>IF(N(I67)&lt;=0,0,MAX(0,I67*(1+Plan!$C$16/12)-(Plan!$D$16+IF(Plan!$E$16=$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J68" s="18">
        <f>IF(N(J67)&lt;=0,0,MAX(0,J67*(1+Plan!$C$17/12)-(Plan!$D$17+IF(Plan!$E$17=$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K68" s="18">
        <f>IF(N(K67)&lt;=0,0,MAX(0,K67*(1+Plan!$C$18/12)-(Plan!$D$18+IF(Plan!$E$18=$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c r="L68" s="19">
        <f>MIN(IF(N(B67)&gt;0,Plan!$E$9,999),IF(N(C67)&gt;0,Plan!$E$10,999),IF(N(D67)&gt;0,Plan!$E$11,999),IF(N(E67)&gt;0,Plan!$E$12,999),IF(N(F67)&gt;0,Plan!$E$13,999),IF(N(G67)&gt;0,Plan!$E$14,999),IF(N(H67)&gt;0,Plan!$E$15,999),IF(N(I67)&gt;0,Plan!$E$16,999),IF(N(J67)&gt;0,Plan!$E$17,999),IF(N(K67)&gt;0,Plan!$E$18,999))</f>
        <v/>
      </c>
      <c r="M68" s="18">
        <f>IF(N(B67)&lt;=0,0,MIN(B67*(1+Plan!$C$9/12),Plan!$D$9+IF(Plan!$E$9=$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IF(N(C67)&lt;=0,0,MIN(C67*(1+Plan!$C$10/12),Plan!$D$10+IF(Plan!$E$10=$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IF(N(D67)&lt;=0,0,MIN(D67*(1+Plan!$C$11/12),Plan!$D$11+IF(Plan!$E$11=$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IF(N(E67)&lt;=0,0,MIN(E67*(1+Plan!$C$12/12),Plan!$D$12+IF(Plan!$E$12=$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IF(N(F67)&lt;=0,0,MIN(F67*(1+Plan!$C$13/12),Plan!$D$13+IF(Plan!$E$13=$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IF(N(G67)&lt;=0,0,MIN(G67*(1+Plan!$C$14/12),Plan!$D$14+IF(Plan!$E$14=$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IF(N(H67)&lt;=0,0,MIN(H67*(1+Plan!$C$15/12),Plan!$D$15+IF(Plan!$E$15=$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IF(N(I67)&lt;=0,0,MIN(I67*(1+Plan!$C$16/12),Plan!$D$16+IF(Plan!$E$16=$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IF(N(J67)&lt;=0,0,MIN(J67*(1+Plan!$C$17/12),Plan!$D$17+IF(Plan!$E$17=$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IF(N(K67)&lt;=0,0,MIN(K67*(1+Plan!$C$18/12),Plan!$D$18+IF(Plan!$E$18=$L68,Plan!$B$5+IF(AND(N(Plan!$B$9)&gt;0,N(B67)&lt;=0),Plan!$D$9,0)+IF(AND(N(Plan!$B$10)&gt;0,N(C67)&lt;=0),Plan!$D$10,0)+IF(AND(N(Plan!$B$11)&gt;0,N(D67)&lt;=0),Plan!$D$11,0)+IF(AND(N(Plan!$B$12)&gt;0,N(E67)&lt;=0),Plan!$D$12,0)+IF(AND(N(Plan!$B$13)&gt;0,N(F67)&lt;=0),Plan!$D$13,0)+IF(AND(N(Plan!$B$14)&gt;0,N(G67)&lt;=0),Plan!$D$14,0)+IF(AND(N(Plan!$B$15)&gt;0,N(H67)&lt;=0),Plan!$D$15,0)+IF(AND(N(Plan!$B$16)&gt;0,N(I67)&lt;=0),Plan!$D$16,0)+IF(AND(N(Plan!$B$17)&gt;0,N(J67)&lt;=0),Plan!$D$17,0)+IF(AND(N(Plan!$B$18)&gt;0,N(K67)&lt;=0),Plan!$D$18,0),0)))</f>
        <v/>
      </c>
    </row>
    <row r="69">
      <c r="A69" s="17" t="n">
        <v>65</v>
      </c>
      <c r="B69" s="18">
        <f>IF(N(B68)&lt;=0,0,MAX(0,B68*(1+Plan!$C$9/12)-(Plan!$D$9+IF(Plan!$E$9=$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C69" s="18">
        <f>IF(N(C68)&lt;=0,0,MAX(0,C68*(1+Plan!$C$10/12)-(Plan!$D$10+IF(Plan!$E$10=$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D69" s="18">
        <f>IF(N(D68)&lt;=0,0,MAX(0,D68*(1+Plan!$C$11/12)-(Plan!$D$11+IF(Plan!$E$11=$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E69" s="18">
        <f>IF(N(E68)&lt;=0,0,MAX(0,E68*(1+Plan!$C$12/12)-(Plan!$D$12+IF(Plan!$E$12=$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F69" s="18">
        <f>IF(N(F68)&lt;=0,0,MAX(0,F68*(1+Plan!$C$13/12)-(Plan!$D$13+IF(Plan!$E$13=$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G69" s="18">
        <f>IF(N(G68)&lt;=0,0,MAX(0,G68*(1+Plan!$C$14/12)-(Plan!$D$14+IF(Plan!$E$14=$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H69" s="18">
        <f>IF(N(H68)&lt;=0,0,MAX(0,H68*(1+Plan!$C$15/12)-(Plan!$D$15+IF(Plan!$E$15=$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I69" s="18">
        <f>IF(N(I68)&lt;=0,0,MAX(0,I68*(1+Plan!$C$16/12)-(Plan!$D$16+IF(Plan!$E$16=$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J69" s="18">
        <f>IF(N(J68)&lt;=0,0,MAX(0,J68*(1+Plan!$C$17/12)-(Plan!$D$17+IF(Plan!$E$17=$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K69" s="18">
        <f>IF(N(K68)&lt;=0,0,MAX(0,K68*(1+Plan!$C$18/12)-(Plan!$D$18+IF(Plan!$E$18=$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c r="L69" s="19">
        <f>MIN(IF(N(B68)&gt;0,Plan!$E$9,999),IF(N(C68)&gt;0,Plan!$E$10,999),IF(N(D68)&gt;0,Plan!$E$11,999),IF(N(E68)&gt;0,Plan!$E$12,999),IF(N(F68)&gt;0,Plan!$E$13,999),IF(N(G68)&gt;0,Plan!$E$14,999),IF(N(H68)&gt;0,Plan!$E$15,999),IF(N(I68)&gt;0,Plan!$E$16,999),IF(N(J68)&gt;0,Plan!$E$17,999),IF(N(K68)&gt;0,Plan!$E$18,999))</f>
        <v/>
      </c>
      <c r="M69" s="18">
        <f>IF(N(B68)&lt;=0,0,MIN(B68*(1+Plan!$C$9/12),Plan!$D$9+IF(Plan!$E$9=$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IF(N(C68)&lt;=0,0,MIN(C68*(1+Plan!$C$10/12),Plan!$D$10+IF(Plan!$E$10=$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IF(N(D68)&lt;=0,0,MIN(D68*(1+Plan!$C$11/12),Plan!$D$11+IF(Plan!$E$11=$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IF(N(E68)&lt;=0,0,MIN(E68*(1+Plan!$C$12/12),Plan!$D$12+IF(Plan!$E$12=$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IF(N(F68)&lt;=0,0,MIN(F68*(1+Plan!$C$13/12),Plan!$D$13+IF(Plan!$E$13=$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IF(N(G68)&lt;=0,0,MIN(G68*(1+Plan!$C$14/12),Plan!$D$14+IF(Plan!$E$14=$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IF(N(H68)&lt;=0,0,MIN(H68*(1+Plan!$C$15/12),Plan!$D$15+IF(Plan!$E$15=$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IF(N(I68)&lt;=0,0,MIN(I68*(1+Plan!$C$16/12),Plan!$D$16+IF(Plan!$E$16=$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IF(N(J68)&lt;=0,0,MIN(J68*(1+Plan!$C$17/12),Plan!$D$17+IF(Plan!$E$17=$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IF(N(K68)&lt;=0,0,MIN(K68*(1+Plan!$C$18/12),Plan!$D$18+IF(Plan!$E$18=$L69,Plan!$B$5+IF(AND(N(Plan!$B$9)&gt;0,N(B68)&lt;=0),Plan!$D$9,0)+IF(AND(N(Plan!$B$10)&gt;0,N(C68)&lt;=0),Plan!$D$10,0)+IF(AND(N(Plan!$B$11)&gt;0,N(D68)&lt;=0),Plan!$D$11,0)+IF(AND(N(Plan!$B$12)&gt;0,N(E68)&lt;=0),Plan!$D$12,0)+IF(AND(N(Plan!$B$13)&gt;0,N(F68)&lt;=0),Plan!$D$13,0)+IF(AND(N(Plan!$B$14)&gt;0,N(G68)&lt;=0),Plan!$D$14,0)+IF(AND(N(Plan!$B$15)&gt;0,N(H68)&lt;=0),Plan!$D$15,0)+IF(AND(N(Plan!$B$16)&gt;0,N(I68)&lt;=0),Plan!$D$16,0)+IF(AND(N(Plan!$B$17)&gt;0,N(J68)&lt;=0),Plan!$D$17,0)+IF(AND(N(Plan!$B$18)&gt;0,N(K68)&lt;=0),Plan!$D$18,0),0)))</f>
        <v/>
      </c>
    </row>
    <row r="70">
      <c r="A70" s="17" t="n">
        <v>66</v>
      </c>
      <c r="B70" s="18">
        <f>IF(N(B69)&lt;=0,0,MAX(0,B69*(1+Plan!$C$9/12)-(Plan!$D$9+IF(Plan!$E$9=$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C70" s="18">
        <f>IF(N(C69)&lt;=0,0,MAX(0,C69*(1+Plan!$C$10/12)-(Plan!$D$10+IF(Plan!$E$10=$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D70" s="18">
        <f>IF(N(D69)&lt;=0,0,MAX(0,D69*(1+Plan!$C$11/12)-(Plan!$D$11+IF(Plan!$E$11=$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E70" s="18">
        <f>IF(N(E69)&lt;=0,0,MAX(0,E69*(1+Plan!$C$12/12)-(Plan!$D$12+IF(Plan!$E$12=$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F70" s="18">
        <f>IF(N(F69)&lt;=0,0,MAX(0,F69*(1+Plan!$C$13/12)-(Plan!$D$13+IF(Plan!$E$13=$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G70" s="18">
        <f>IF(N(G69)&lt;=0,0,MAX(0,G69*(1+Plan!$C$14/12)-(Plan!$D$14+IF(Plan!$E$14=$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H70" s="18">
        <f>IF(N(H69)&lt;=0,0,MAX(0,H69*(1+Plan!$C$15/12)-(Plan!$D$15+IF(Plan!$E$15=$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I70" s="18">
        <f>IF(N(I69)&lt;=0,0,MAX(0,I69*(1+Plan!$C$16/12)-(Plan!$D$16+IF(Plan!$E$16=$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J70" s="18">
        <f>IF(N(J69)&lt;=0,0,MAX(0,J69*(1+Plan!$C$17/12)-(Plan!$D$17+IF(Plan!$E$17=$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K70" s="18">
        <f>IF(N(K69)&lt;=0,0,MAX(0,K69*(1+Plan!$C$18/12)-(Plan!$D$18+IF(Plan!$E$18=$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c r="L70" s="19">
        <f>MIN(IF(N(B69)&gt;0,Plan!$E$9,999),IF(N(C69)&gt;0,Plan!$E$10,999),IF(N(D69)&gt;0,Plan!$E$11,999),IF(N(E69)&gt;0,Plan!$E$12,999),IF(N(F69)&gt;0,Plan!$E$13,999),IF(N(G69)&gt;0,Plan!$E$14,999),IF(N(H69)&gt;0,Plan!$E$15,999),IF(N(I69)&gt;0,Plan!$E$16,999),IF(N(J69)&gt;0,Plan!$E$17,999),IF(N(K69)&gt;0,Plan!$E$18,999))</f>
        <v/>
      </c>
      <c r="M70" s="18">
        <f>IF(N(B69)&lt;=0,0,MIN(B69*(1+Plan!$C$9/12),Plan!$D$9+IF(Plan!$E$9=$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IF(N(C69)&lt;=0,0,MIN(C69*(1+Plan!$C$10/12),Plan!$D$10+IF(Plan!$E$10=$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IF(N(D69)&lt;=0,0,MIN(D69*(1+Plan!$C$11/12),Plan!$D$11+IF(Plan!$E$11=$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IF(N(E69)&lt;=0,0,MIN(E69*(1+Plan!$C$12/12),Plan!$D$12+IF(Plan!$E$12=$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IF(N(F69)&lt;=0,0,MIN(F69*(1+Plan!$C$13/12),Plan!$D$13+IF(Plan!$E$13=$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IF(N(G69)&lt;=0,0,MIN(G69*(1+Plan!$C$14/12),Plan!$D$14+IF(Plan!$E$14=$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IF(N(H69)&lt;=0,0,MIN(H69*(1+Plan!$C$15/12),Plan!$D$15+IF(Plan!$E$15=$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IF(N(I69)&lt;=0,0,MIN(I69*(1+Plan!$C$16/12),Plan!$D$16+IF(Plan!$E$16=$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IF(N(J69)&lt;=0,0,MIN(J69*(1+Plan!$C$17/12),Plan!$D$17+IF(Plan!$E$17=$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IF(N(K69)&lt;=0,0,MIN(K69*(1+Plan!$C$18/12),Plan!$D$18+IF(Plan!$E$18=$L70,Plan!$B$5+IF(AND(N(Plan!$B$9)&gt;0,N(B69)&lt;=0),Plan!$D$9,0)+IF(AND(N(Plan!$B$10)&gt;0,N(C69)&lt;=0),Plan!$D$10,0)+IF(AND(N(Plan!$B$11)&gt;0,N(D69)&lt;=0),Plan!$D$11,0)+IF(AND(N(Plan!$B$12)&gt;0,N(E69)&lt;=0),Plan!$D$12,0)+IF(AND(N(Plan!$B$13)&gt;0,N(F69)&lt;=0),Plan!$D$13,0)+IF(AND(N(Plan!$B$14)&gt;0,N(G69)&lt;=0),Plan!$D$14,0)+IF(AND(N(Plan!$B$15)&gt;0,N(H69)&lt;=0),Plan!$D$15,0)+IF(AND(N(Plan!$B$16)&gt;0,N(I69)&lt;=0),Plan!$D$16,0)+IF(AND(N(Plan!$B$17)&gt;0,N(J69)&lt;=0),Plan!$D$17,0)+IF(AND(N(Plan!$B$18)&gt;0,N(K69)&lt;=0),Plan!$D$18,0),0)))</f>
        <v/>
      </c>
    </row>
    <row r="71">
      <c r="A71" s="17" t="n">
        <v>67</v>
      </c>
      <c r="B71" s="18">
        <f>IF(N(B70)&lt;=0,0,MAX(0,B70*(1+Plan!$C$9/12)-(Plan!$D$9+IF(Plan!$E$9=$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C71" s="18">
        <f>IF(N(C70)&lt;=0,0,MAX(0,C70*(1+Plan!$C$10/12)-(Plan!$D$10+IF(Plan!$E$10=$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D71" s="18">
        <f>IF(N(D70)&lt;=0,0,MAX(0,D70*(1+Plan!$C$11/12)-(Plan!$D$11+IF(Plan!$E$11=$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E71" s="18">
        <f>IF(N(E70)&lt;=0,0,MAX(0,E70*(1+Plan!$C$12/12)-(Plan!$D$12+IF(Plan!$E$12=$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F71" s="18">
        <f>IF(N(F70)&lt;=0,0,MAX(0,F70*(1+Plan!$C$13/12)-(Plan!$D$13+IF(Plan!$E$13=$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G71" s="18">
        <f>IF(N(G70)&lt;=0,0,MAX(0,G70*(1+Plan!$C$14/12)-(Plan!$D$14+IF(Plan!$E$14=$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H71" s="18">
        <f>IF(N(H70)&lt;=0,0,MAX(0,H70*(1+Plan!$C$15/12)-(Plan!$D$15+IF(Plan!$E$15=$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I71" s="18">
        <f>IF(N(I70)&lt;=0,0,MAX(0,I70*(1+Plan!$C$16/12)-(Plan!$D$16+IF(Plan!$E$16=$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J71" s="18">
        <f>IF(N(J70)&lt;=0,0,MAX(0,J70*(1+Plan!$C$17/12)-(Plan!$D$17+IF(Plan!$E$17=$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K71" s="18">
        <f>IF(N(K70)&lt;=0,0,MAX(0,K70*(1+Plan!$C$18/12)-(Plan!$D$18+IF(Plan!$E$18=$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c r="L71" s="19">
        <f>MIN(IF(N(B70)&gt;0,Plan!$E$9,999),IF(N(C70)&gt;0,Plan!$E$10,999),IF(N(D70)&gt;0,Plan!$E$11,999),IF(N(E70)&gt;0,Plan!$E$12,999),IF(N(F70)&gt;0,Plan!$E$13,999),IF(N(G70)&gt;0,Plan!$E$14,999),IF(N(H70)&gt;0,Plan!$E$15,999),IF(N(I70)&gt;0,Plan!$E$16,999),IF(N(J70)&gt;0,Plan!$E$17,999),IF(N(K70)&gt;0,Plan!$E$18,999))</f>
        <v/>
      </c>
      <c r="M71" s="18">
        <f>IF(N(B70)&lt;=0,0,MIN(B70*(1+Plan!$C$9/12),Plan!$D$9+IF(Plan!$E$9=$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IF(N(C70)&lt;=0,0,MIN(C70*(1+Plan!$C$10/12),Plan!$D$10+IF(Plan!$E$10=$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IF(N(D70)&lt;=0,0,MIN(D70*(1+Plan!$C$11/12),Plan!$D$11+IF(Plan!$E$11=$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IF(N(E70)&lt;=0,0,MIN(E70*(1+Plan!$C$12/12),Plan!$D$12+IF(Plan!$E$12=$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IF(N(F70)&lt;=0,0,MIN(F70*(1+Plan!$C$13/12),Plan!$D$13+IF(Plan!$E$13=$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IF(N(G70)&lt;=0,0,MIN(G70*(1+Plan!$C$14/12),Plan!$D$14+IF(Plan!$E$14=$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IF(N(H70)&lt;=0,0,MIN(H70*(1+Plan!$C$15/12),Plan!$D$15+IF(Plan!$E$15=$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IF(N(I70)&lt;=0,0,MIN(I70*(1+Plan!$C$16/12),Plan!$D$16+IF(Plan!$E$16=$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IF(N(J70)&lt;=0,0,MIN(J70*(1+Plan!$C$17/12),Plan!$D$17+IF(Plan!$E$17=$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IF(N(K70)&lt;=0,0,MIN(K70*(1+Plan!$C$18/12),Plan!$D$18+IF(Plan!$E$18=$L71,Plan!$B$5+IF(AND(N(Plan!$B$9)&gt;0,N(B70)&lt;=0),Plan!$D$9,0)+IF(AND(N(Plan!$B$10)&gt;0,N(C70)&lt;=0),Plan!$D$10,0)+IF(AND(N(Plan!$B$11)&gt;0,N(D70)&lt;=0),Plan!$D$11,0)+IF(AND(N(Plan!$B$12)&gt;0,N(E70)&lt;=0),Plan!$D$12,0)+IF(AND(N(Plan!$B$13)&gt;0,N(F70)&lt;=0),Plan!$D$13,0)+IF(AND(N(Plan!$B$14)&gt;0,N(G70)&lt;=0),Plan!$D$14,0)+IF(AND(N(Plan!$B$15)&gt;0,N(H70)&lt;=0),Plan!$D$15,0)+IF(AND(N(Plan!$B$16)&gt;0,N(I70)&lt;=0),Plan!$D$16,0)+IF(AND(N(Plan!$B$17)&gt;0,N(J70)&lt;=0),Plan!$D$17,0)+IF(AND(N(Plan!$B$18)&gt;0,N(K70)&lt;=0),Plan!$D$18,0),0)))</f>
        <v/>
      </c>
    </row>
    <row r="72">
      <c r="A72" s="17" t="n">
        <v>68</v>
      </c>
      <c r="B72" s="18">
        <f>IF(N(B71)&lt;=0,0,MAX(0,B71*(1+Plan!$C$9/12)-(Plan!$D$9+IF(Plan!$E$9=$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C72" s="18">
        <f>IF(N(C71)&lt;=0,0,MAX(0,C71*(1+Plan!$C$10/12)-(Plan!$D$10+IF(Plan!$E$10=$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D72" s="18">
        <f>IF(N(D71)&lt;=0,0,MAX(0,D71*(1+Plan!$C$11/12)-(Plan!$D$11+IF(Plan!$E$11=$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E72" s="18">
        <f>IF(N(E71)&lt;=0,0,MAX(0,E71*(1+Plan!$C$12/12)-(Plan!$D$12+IF(Plan!$E$12=$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F72" s="18">
        <f>IF(N(F71)&lt;=0,0,MAX(0,F71*(1+Plan!$C$13/12)-(Plan!$D$13+IF(Plan!$E$13=$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G72" s="18">
        <f>IF(N(G71)&lt;=0,0,MAX(0,G71*(1+Plan!$C$14/12)-(Plan!$D$14+IF(Plan!$E$14=$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H72" s="18">
        <f>IF(N(H71)&lt;=0,0,MAX(0,H71*(1+Plan!$C$15/12)-(Plan!$D$15+IF(Plan!$E$15=$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I72" s="18">
        <f>IF(N(I71)&lt;=0,0,MAX(0,I71*(1+Plan!$C$16/12)-(Plan!$D$16+IF(Plan!$E$16=$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J72" s="18">
        <f>IF(N(J71)&lt;=0,0,MAX(0,J71*(1+Plan!$C$17/12)-(Plan!$D$17+IF(Plan!$E$17=$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K72" s="18">
        <f>IF(N(K71)&lt;=0,0,MAX(0,K71*(1+Plan!$C$18/12)-(Plan!$D$18+IF(Plan!$E$18=$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c r="L72" s="19">
        <f>MIN(IF(N(B71)&gt;0,Plan!$E$9,999),IF(N(C71)&gt;0,Plan!$E$10,999),IF(N(D71)&gt;0,Plan!$E$11,999),IF(N(E71)&gt;0,Plan!$E$12,999),IF(N(F71)&gt;0,Plan!$E$13,999),IF(N(G71)&gt;0,Plan!$E$14,999),IF(N(H71)&gt;0,Plan!$E$15,999),IF(N(I71)&gt;0,Plan!$E$16,999),IF(N(J71)&gt;0,Plan!$E$17,999),IF(N(K71)&gt;0,Plan!$E$18,999))</f>
        <v/>
      </c>
      <c r="M72" s="18">
        <f>IF(N(B71)&lt;=0,0,MIN(B71*(1+Plan!$C$9/12),Plan!$D$9+IF(Plan!$E$9=$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IF(N(C71)&lt;=0,0,MIN(C71*(1+Plan!$C$10/12),Plan!$D$10+IF(Plan!$E$10=$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IF(N(D71)&lt;=0,0,MIN(D71*(1+Plan!$C$11/12),Plan!$D$11+IF(Plan!$E$11=$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IF(N(E71)&lt;=0,0,MIN(E71*(1+Plan!$C$12/12),Plan!$D$12+IF(Plan!$E$12=$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IF(N(F71)&lt;=0,0,MIN(F71*(1+Plan!$C$13/12),Plan!$D$13+IF(Plan!$E$13=$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IF(N(G71)&lt;=0,0,MIN(G71*(1+Plan!$C$14/12),Plan!$D$14+IF(Plan!$E$14=$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IF(N(H71)&lt;=0,0,MIN(H71*(1+Plan!$C$15/12),Plan!$D$15+IF(Plan!$E$15=$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IF(N(I71)&lt;=0,0,MIN(I71*(1+Plan!$C$16/12),Plan!$D$16+IF(Plan!$E$16=$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IF(N(J71)&lt;=0,0,MIN(J71*(1+Plan!$C$17/12),Plan!$D$17+IF(Plan!$E$17=$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IF(N(K71)&lt;=0,0,MIN(K71*(1+Plan!$C$18/12),Plan!$D$18+IF(Plan!$E$18=$L72,Plan!$B$5+IF(AND(N(Plan!$B$9)&gt;0,N(B71)&lt;=0),Plan!$D$9,0)+IF(AND(N(Plan!$B$10)&gt;0,N(C71)&lt;=0),Plan!$D$10,0)+IF(AND(N(Plan!$B$11)&gt;0,N(D71)&lt;=0),Plan!$D$11,0)+IF(AND(N(Plan!$B$12)&gt;0,N(E71)&lt;=0),Plan!$D$12,0)+IF(AND(N(Plan!$B$13)&gt;0,N(F71)&lt;=0),Plan!$D$13,0)+IF(AND(N(Plan!$B$14)&gt;0,N(G71)&lt;=0),Plan!$D$14,0)+IF(AND(N(Plan!$B$15)&gt;0,N(H71)&lt;=0),Plan!$D$15,0)+IF(AND(N(Plan!$B$16)&gt;0,N(I71)&lt;=0),Plan!$D$16,0)+IF(AND(N(Plan!$B$17)&gt;0,N(J71)&lt;=0),Plan!$D$17,0)+IF(AND(N(Plan!$B$18)&gt;0,N(K71)&lt;=0),Plan!$D$18,0),0)))</f>
        <v/>
      </c>
    </row>
    <row r="73">
      <c r="A73" s="17" t="n">
        <v>69</v>
      </c>
      <c r="B73" s="18">
        <f>IF(N(B72)&lt;=0,0,MAX(0,B72*(1+Plan!$C$9/12)-(Plan!$D$9+IF(Plan!$E$9=$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C73" s="18">
        <f>IF(N(C72)&lt;=0,0,MAX(0,C72*(1+Plan!$C$10/12)-(Plan!$D$10+IF(Plan!$E$10=$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D73" s="18">
        <f>IF(N(D72)&lt;=0,0,MAX(0,D72*(1+Plan!$C$11/12)-(Plan!$D$11+IF(Plan!$E$11=$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E73" s="18">
        <f>IF(N(E72)&lt;=0,0,MAX(0,E72*(1+Plan!$C$12/12)-(Plan!$D$12+IF(Plan!$E$12=$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F73" s="18">
        <f>IF(N(F72)&lt;=0,0,MAX(0,F72*(1+Plan!$C$13/12)-(Plan!$D$13+IF(Plan!$E$13=$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G73" s="18">
        <f>IF(N(G72)&lt;=0,0,MAX(0,G72*(1+Plan!$C$14/12)-(Plan!$D$14+IF(Plan!$E$14=$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H73" s="18">
        <f>IF(N(H72)&lt;=0,0,MAX(0,H72*(1+Plan!$C$15/12)-(Plan!$D$15+IF(Plan!$E$15=$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I73" s="18">
        <f>IF(N(I72)&lt;=0,0,MAX(0,I72*(1+Plan!$C$16/12)-(Plan!$D$16+IF(Plan!$E$16=$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J73" s="18">
        <f>IF(N(J72)&lt;=0,0,MAX(0,J72*(1+Plan!$C$17/12)-(Plan!$D$17+IF(Plan!$E$17=$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K73" s="18">
        <f>IF(N(K72)&lt;=0,0,MAX(0,K72*(1+Plan!$C$18/12)-(Plan!$D$18+IF(Plan!$E$18=$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c r="L73" s="19">
        <f>MIN(IF(N(B72)&gt;0,Plan!$E$9,999),IF(N(C72)&gt;0,Plan!$E$10,999),IF(N(D72)&gt;0,Plan!$E$11,999),IF(N(E72)&gt;0,Plan!$E$12,999),IF(N(F72)&gt;0,Plan!$E$13,999),IF(N(G72)&gt;0,Plan!$E$14,999),IF(N(H72)&gt;0,Plan!$E$15,999),IF(N(I72)&gt;0,Plan!$E$16,999),IF(N(J72)&gt;0,Plan!$E$17,999),IF(N(K72)&gt;0,Plan!$E$18,999))</f>
        <v/>
      </c>
      <c r="M73" s="18">
        <f>IF(N(B72)&lt;=0,0,MIN(B72*(1+Plan!$C$9/12),Plan!$D$9+IF(Plan!$E$9=$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IF(N(C72)&lt;=0,0,MIN(C72*(1+Plan!$C$10/12),Plan!$D$10+IF(Plan!$E$10=$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IF(N(D72)&lt;=0,0,MIN(D72*(1+Plan!$C$11/12),Plan!$D$11+IF(Plan!$E$11=$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IF(N(E72)&lt;=0,0,MIN(E72*(1+Plan!$C$12/12),Plan!$D$12+IF(Plan!$E$12=$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IF(N(F72)&lt;=0,0,MIN(F72*(1+Plan!$C$13/12),Plan!$D$13+IF(Plan!$E$13=$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IF(N(G72)&lt;=0,0,MIN(G72*(1+Plan!$C$14/12),Plan!$D$14+IF(Plan!$E$14=$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IF(N(H72)&lt;=0,0,MIN(H72*(1+Plan!$C$15/12),Plan!$D$15+IF(Plan!$E$15=$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IF(N(I72)&lt;=0,0,MIN(I72*(1+Plan!$C$16/12),Plan!$D$16+IF(Plan!$E$16=$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IF(N(J72)&lt;=0,0,MIN(J72*(1+Plan!$C$17/12),Plan!$D$17+IF(Plan!$E$17=$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IF(N(K72)&lt;=0,0,MIN(K72*(1+Plan!$C$18/12),Plan!$D$18+IF(Plan!$E$18=$L73,Plan!$B$5+IF(AND(N(Plan!$B$9)&gt;0,N(B72)&lt;=0),Plan!$D$9,0)+IF(AND(N(Plan!$B$10)&gt;0,N(C72)&lt;=0),Plan!$D$10,0)+IF(AND(N(Plan!$B$11)&gt;0,N(D72)&lt;=0),Plan!$D$11,0)+IF(AND(N(Plan!$B$12)&gt;0,N(E72)&lt;=0),Plan!$D$12,0)+IF(AND(N(Plan!$B$13)&gt;0,N(F72)&lt;=0),Plan!$D$13,0)+IF(AND(N(Plan!$B$14)&gt;0,N(G72)&lt;=0),Plan!$D$14,0)+IF(AND(N(Plan!$B$15)&gt;0,N(H72)&lt;=0),Plan!$D$15,0)+IF(AND(N(Plan!$B$16)&gt;0,N(I72)&lt;=0),Plan!$D$16,0)+IF(AND(N(Plan!$B$17)&gt;0,N(J72)&lt;=0),Plan!$D$17,0)+IF(AND(N(Plan!$B$18)&gt;0,N(K72)&lt;=0),Plan!$D$18,0),0)))</f>
        <v/>
      </c>
    </row>
    <row r="74">
      <c r="A74" s="17" t="n">
        <v>70</v>
      </c>
      <c r="B74" s="18">
        <f>IF(N(B73)&lt;=0,0,MAX(0,B73*(1+Plan!$C$9/12)-(Plan!$D$9+IF(Plan!$E$9=$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C74" s="18">
        <f>IF(N(C73)&lt;=0,0,MAX(0,C73*(1+Plan!$C$10/12)-(Plan!$D$10+IF(Plan!$E$10=$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D74" s="18">
        <f>IF(N(D73)&lt;=0,0,MAX(0,D73*(1+Plan!$C$11/12)-(Plan!$D$11+IF(Plan!$E$11=$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E74" s="18">
        <f>IF(N(E73)&lt;=0,0,MAX(0,E73*(1+Plan!$C$12/12)-(Plan!$D$12+IF(Plan!$E$12=$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F74" s="18">
        <f>IF(N(F73)&lt;=0,0,MAX(0,F73*(1+Plan!$C$13/12)-(Plan!$D$13+IF(Plan!$E$13=$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G74" s="18">
        <f>IF(N(G73)&lt;=0,0,MAX(0,G73*(1+Plan!$C$14/12)-(Plan!$D$14+IF(Plan!$E$14=$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H74" s="18">
        <f>IF(N(H73)&lt;=0,0,MAX(0,H73*(1+Plan!$C$15/12)-(Plan!$D$15+IF(Plan!$E$15=$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I74" s="18">
        <f>IF(N(I73)&lt;=0,0,MAX(0,I73*(1+Plan!$C$16/12)-(Plan!$D$16+IF(Plan!$E$16=$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J74" s="18">
        <f>IF(N(J73)&lt;=0,0,MAX(0,J73*(1+Plan!$C$17/12)-(Plan!$D$17+IF(Plan!$E$17=$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K74" s="18">
        <f>IF(N(K73)&lt;=0,0,MAX(0,K73*(1+Plan!$C$18/12)-(Plan!$D$18+IF(Plan!$E$18=$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c r="L74" s="19">
        <f>MIN(IF(N(B73)&gt;0,Plan!$E$9,999),IF(N(C73)&gt;0,Plan!$E$10,999),IF(N(D73)&gt;0,Plan!$E$11,999),IF(N(E73)&gt;0,Plan!$E$12,999),IF(N(F73)&gt;0,Plan!$E$13,999),IF(N(G73)&gt;0,Plan!$E$14,999),IF(N(H73)&gt;0,Plan!$E$15,999),IF(N(I73)&gt;0,Plan!$E$16,999),IF(N(J73)&gt;0,Plan!$E$17,999),IF(N(K73)&gt;0,Plan!$E$18,999))</f>
        <v/>
      </c>
      <c r="M74" s="18">
        <f>IF(N(B73)&lt;=0,0,MIN(B73*(1+Plan!$C$9/12),Plan!$D$9+IF(Plan!$E$9=$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IF(N(C73)&lt;=0,0,MIN(C73*(1+Plan!$C$10/12),Plan!$D$10+IF(Plan!$E$10=$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IF(N(D73)&lt;=0,0,MIN(D73*(1+Plan!$C$11/12),Plan!$D$11+IF(Plan!$E$11=$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IF(N(E73)&lt;=0,0,MIN(E73*(1+Plan!$C$12/12),Plan!$D$12+IF(Plan!$E$12=$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IF(N(F73)&lt;=0,0,MIN(F73*(1+Plan!$C$13/12),Plan!$D$13+IF(Plan!$E$13=$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IF(N(G73)&lt;=0,0,MIN(G73*(1+Plan!$C$14/12),Plan!$D$14+IF(Plan!$E$14=$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IF(N(H73)&lt;=0,0,MIN(H73*(1+Plan!$C$15/12),Plan!$D$15+IF(Plan!$E$15=$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IF(N(I73)&lt;=0,0,MIN(I73*(1+Plan!$C$16/12),Plan!$D$16+IF(Plan!$E$16=$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IF(N(J73)&lt;=0,0,MIN(J73*(1+Plan!$C$17/12),Plan!$D$17+IF(Plan!$E$17=$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IF(N(K73)&lt;=0,0,MIN(K73*(1+Plan!$C$18/12),Plan!$D$18+IF(Plan!$E$18=$L74,Plan!$B$5+IF(AND(N(Plan!$B$9)&gt;0,N(B73)&lt;=0),Plan!$D$9,0)+IF(AND(N(Plan!$B$10)&gt;0,N(C73)&lt;=0),Plan!$D$10,0)+IF(AND(N(Plan!$B$11)&gt;0,N(D73)&lt;=0),Plan!$D$11,0)+IF(AND(N(Plan!$B$12)&gt;0,N(E73)&lt;=0),Plan!$D$12,0)+IF(AND(N(Plan!$B$13)&gt;0,N(F73)&lt;=0),Plan!$D$13,0)+IF(AND(N(Plan!$B$14)&gt;0,N(G73)&lt;=0),Plan!$D$14,0)+IF(AND(N(Plan!$B$15)&gt;0,N(H73)&lt;=0),Plan!$D$15,0)+IF(AND(N(Plan!$B$16)&gt;0,N(I73)&lt;=0),Plan!$D$16,0)+IF(AND(N(Plan!$B$17)&gt;0,N(J73)&lt;=0),Plan!$D$17,0)+IF(AND(N(Plan!$B$18)&gt;0,N(K73)&lt;=0),Plan!$D$18,0),0)))</f>
        <v/>
      </c>
    </row>
    <row r="75">
      <c r="A75" s="17" t="n">
        <v>71</v>
      </c>
      <c r="B75" s="18">
        <f>IF(N(B74)&lt;=0,0,MAX(0,B74*(1+Plan!$C$9/12)-(Plan!$D$9+IF(Plan!$E$9=$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C75" s="18">
        <f>IF(N(C74)&lt;=0,0,MAX(0,C74*(1+Plan!$C$10/12)-(Plan!$D$10+IF(Plan!$E$10=$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D75" s="18">
        <f>IF(N(D74)&lt;=0,0,MAX(0,D74*(1+Plan!$C$11/12)-(Plan!$D$11+IF(Plan!$E$11=$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E75" s="18">
        <f>IF(N(E74)&lt;=0,0,MAX(0,E74*(1+Plan!$C$12/12)-(Plan!$D$12+IF(Plan!$E$12=$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F75" s="18">
        <f>IF(N(F74)&lt;=0,0,MAX(0,F74*(1+Plan!$C$13/12)-(Plan!$D$13+IF(Plan!$E$13=$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G75" s="18">
        <f>IF(N(G74)&lt;=0,0,MAX(0,G74*(1+Plan!$C$14/12)-(Plan!$D$14+IF(Plan!$E$14=$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H75" s="18">
        <f>IF(N(H74)&lt;=0,0,MAX(0,H74*(1+Plan!$C$15/12)-(Plan!$D$15+IF(Plan!$E$15=$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I75" s="18">
        <f>IF(N(I74)&lt;=0,0,MAX(0,I74*(1+Plan!$C$16/12)-(Plan!$D$16+IF(Plan!$E$16=$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J75" s="18">
        <f>IF(N(J74)&lt;=0,0,MAX(0,J74*(1+Plan!$C$17/12)-(Plan!$D$17+IF(Plan!$E$17=$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K75" s="18">
        <f>IF(N(K74)&lt;=0,0,MAX(0,K74*(1+Plan!$C$18/12)-(Plan!$D$18+IF(Plan!$E$18=$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c r="L75" s="19">
        <f>MIN(IF(N(B74)&gt;0,Plan!$E$9,999),IF(N(C74)&gt;0,Plan!$E$10,999),IF(N(D74)&gt;0,Plan!$E$11,999),IF(N(E74)&gt;0,Plan!$E$12,999),IF(N(F74)&gt;0,Plan!$E$13,999),IF(N(G74)&gt;0,Plan!$E$14,999),IF(N(H74)&gt;0,Plan!$E$15,999),IF(N(I74)&gt;0,Plan!$E$16,999),IF(N(J74)&gt;0,Plan!$E$17,999),IF(N(K74)&gt;0,Plan!$E$18,999))</f>
        <v/>
      </c>
      <c r="M75" s="18">
        <f>IF(N(B74)&lt;=0,0,MIN(B74*(1+Plan!$C$9/12),Plan!$D$9+IF(Plan!$E$9=$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IF(N(C74)&lt;=0,0,MIN(C74*(1+Plan!$C$10/12),Plan!$D$10+IF(Plan!$E$10=$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IF(N(D74)&lt;=0,0,MIN(D74*(1+Plan!$C$11/12),Plan!$D$11+IF(Plan!$E$11=$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IF(N(E74)&lt;=0,0,MIN(E74*(1+Plan!$C$12/12),Plan!$D$12+IF(Plan!$E$12=$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IF(N(F74)&lt;=0,0,MIN(F74*(1+Plan!$C$13/12),Plan!$D$13+IF(Plan!$E$13=$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IF(N(G74)&lt;=0,0,MIN(G74*(1+Plan!$C$14/12),Plan!$D$14+IF(Plan!$E$14=$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IF(N(H74)&lt;=0,0,MIN(H74*(1+Plan!$C$15/12),Plan!$D$15+IF(Plan!$E$15=$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IF(N(I74)&lt;=0,0,MIN(I74*(1+Plan!$C$16/12),Plan!$D$16+IF(Plan!$E$16=$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IF(N(J74)&lt;=0,0,MIN(J74*(1+Plan!$C$17/12),Plan!$D$17+IF(Plan!$E$17=$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IF(N(K74)&lt;=0,0,MIN(K74*(1+Plan!$C$18/12),Plan!$D$18+IF(Plan!$E$18=$L75,Plan!$B$5+IF(AND(N(Plan!$B$9)&gt;0,N(B74)&lt;=0),Plan!$D$9,0)+IF(AND(N(Plan!$B$10)&gt;0,N(C74)&lt;=0),Plan!$D$10,0)+IF(AND(N(Plan!$B$11)&gt;0,N(D74)&lt;=0),Plan!$D$11,0)+IF(AND(N(Plan!$B$12)&gt;0,N(E74)&lt;=0),Plan!$D$12,0)+IF(AND(N(Plan!$B$13)&gt;0,N(F74)&lt;=0),Plan!$D$13,0)+IF(AND(N(Plan!$B$14)&gt;0,N(G74)&lt;=0),Plan!$D$14,0)+IF(AND(N(Plan!$B$15)&gt;0,N(H74)&lt;=0),Plan!$D$15,0)+IF(AND(N(Plan!$B$16)&gt;0,N(I74)&lt;=0),Plan!$D$16,0)+IF(AND(N(Plan!$B$17)&gt;0,N(J74)&lt;=0),Plan!$D$17,0)+IF(AND(N(Plan!$B$18)&gt;0,N(K74)&lt;=0),Plan!$D$18,0),0)))</f>
        <v/>
      </c>
    </row>
    <row r="76">
      <c r="A76" s="17" t="n">
        <v>72</v>
      </c>
      <c r="B76" s="18">
        <f>IF(N(B75)&lt;=0,0,MAX(0,B75*(1+Plan!$C$9/12)-(Plan!$D$9+IF(Plan!$E$9=$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C76" s="18">
        <f>IF(N(C75)&lt;=0,0,MAX(0,C75*(1+Plan!$C$10/12)-(Plan!$D$10+IF(Plan!$E$10=$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D76" s="18">
        <f>IF(N(D75)&lt;=0,0,MAX(0,D75*(1+Plan!$C$11/12)-(Plan!$D$11+IF(Plan!$E$11=$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E76" s="18">
        <f>IF(N(E75)&lt;=0,0,MAX(0,E75*(1+Plan!$C$12/12)-(Plan!$D$12+IF(Plan!$E$12=$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F76" s="18">
        <f>IF(N(F75)&lt;=0,0,MAX(0,F75*(1+Plan!$C$13/12)-(Plan!$D$13+IF(Plan!$E$13=$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G76" s="18">
        <f>IF(N(G75)&lt;=0,0,MAX(0,G75*(1+Plan!$C$14/12)-(Plan!$D$14+IF(Plan!$E$14=$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H76" s="18">
        <f>IF(N(H75)&lt;=0,0,MAX(0,H75*(1+Plan!$C$15/12)-(Plan!$D$15+IF(Plan!$E$15=$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I76" s="18">
        <f>IF(N(I75)&lt;=0,0,MAX(0,I75*(1+Plan!$C$16/12)-(Plan!$D$16+IF(Plan!$E$16=$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J76" s="18">
        <f>IF(N(J75)&lt;=0,0,MAX(0,J75*(1+Plan!$C$17/12)-(Plan!$D$17+IF(Plan!$E$17=$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K76" s="18">
        <f>IF(N(K75)&lt;=0,0,MAX(0,K75*(1+Plan!$C$18/12)-(Plan!$D$18+IF(Plan!$E$18=$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c r="L76" s="19">
        <f>MIN(IF(N(B75)&gt;0,Plan!$E$9,999),IF(N(C75)&gt;0,Plan!$E$10,999),IF(N(D75)&gt;0,Plan!$E$11,999),IF(N(E75)&gt;0,Plan!$E$12,999),IF(N(F75)&gt;0,Plan!$E$13,999),IF(N(G75)&gt;0,Plan!$E$14,999),IF(N(H75)&gt;0,Plan!$E$15,999),IF(N(I75)&gt;0,Plan!$E$16,999),IF(N(J75)&gt;0,Plan!$E$17,999),IF(N(K75)&gt;0,Plan!$E$18,999))</f>
        <v/>
      </c>
      <c r="M76" s="18">
        <f>IF(N(B75)&lt;=0,0,MIN(B75*(1+Plan!$C$9/12),Plan!$D$9+IF(Plan!$E$9=$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IF(N(C75)&lt;=0,0,MIN(C75*(1+Plan!$C$10/12),Plan!$D$10+IF(Plan!$E$10=$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IF(N(D75)&lt;=0,0,MIN(D75*(1+Plan!$C$11/12),Plan!$D$11+IF(Plan!$E$11=$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IF(N(E75)&lt;=0,0,MIN(E75*(1+Plan!$C$12/12),Plan!$D$12+IF(Plan!$E$12=$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IF(N(F75)&lt;=0,0,MIN(F75*(1+Plan!$C$13/12),Plan!$D$13+IF(Plan!$E$13=$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IF(N(G75)&lt;=0,0,MIN(G75*(1+Plan!$C$14/12),Plan!$D$14+IF(Plan!$E$14=$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IF(N(H75)&lt;=0,0,MIN(H75*(1+Plan!$C$15/12),Plan!$D$15+IF(Plan!$E$15=$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IF(N(I75)&lt;=0,0,MIN(I75*(1+Plan!$C$16/12),Plan!$D$16+IF(Plan!$E$16=$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IF(N(J75)&lt;=0,0,MIN(J75*(1+Plan!$C$17/12),Plan!$D$17+IF(Plan!$E$17=$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IF(N(K75)&lt;=0,0,MIN(K75*(1+Plan!$C$18/12),Plan!$D$18+IF(Plan!$E$18=$L76,Plan!$B$5+IF(AND(N(Plan!$B$9)&gt;0,N(B75)&lt;=0),Plan!$D$9,0)+IF(AND(N(Plan!$B$10)&gt;0,N(C75)&lt;=0),Plan!$D$10,0)+IF(AND(N(Plan!$B$11)&gt;0,N(D75)&lt;=0),Plan!$D$11,0)+IF(AND(N(Plan!$B$12)&gt;0,N(E75)&lt;=0),Plan!$D$12,0)+IF(AND(N(Plan!$B$13)&gt;0,N(F75)&lt;=0),Plan!$D$13,0)+IF(AND(N(Plan!$B$14)&gt;0,N(G75)&lt;=0),Plan!$D$14,0)+IF(AND(N(Plan!$B$15)&gt;0,N(H75)&lt;=0),Plan!$D$15,0)+IF(AND(N(Plan!$B$16)&gt;0,N(I75)&lt;=0),Plan!$D$16,0)+IF(AND(N(Plan!$B$17)&gt;0,N(J75)&lt;=0),Plan!$D$17,0)+IF(AND(N(Plan!$B$18)&gt;0,N(K75)&lt;=0),Plan!$D$18,0),0)))</f>
        <v/>
      </c>
    </row>
    <row r="77">
      <c r="A77" s="17" t="n">
        <v>73</v>
      </c>
      <c r="B77" s="18">
        <f>IF(N(B76)&lt;=0,0,MAX(0,B76*(1+Plan!$C$9/12)-(Plan!$D$9+IF(Plan!$E$9=$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C77" s="18">
        <f>IF(N(C76)&lt;=0,0,MAX(0,C76*(1+Plan!$C$10/12)-(Plan!$D$10+IF(Plan!$E$10=$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D77" s="18">
        <f>IF(N(D76)&lt;=0,0,MAX(0,D76*(1+Plan!$C$11/12)-(Plan!$D$11+IF(Plan!$E$11=$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E77" s="18">
        <f>IF(N(E76)&lt;=0,0,MAX(0,E76*(1+Plan!$C$12/12)-(Plan!$D$12+IF(Plan!$E$12=$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F77" s="18">
        <f>IF(N(F76)&lt;=0,0,MAX(0,F76*(1+Plan!$C$13/12)-(Plan!$D$13+IF(Plan!$E$13=$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G77" s="18">
        <f>IF(N(G76)&lt;=0,0,MAX(0,G76*(1+Plan!$C$14/12)-(Plan!$D$14+IF(Plan!$E$14=$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H77" s="18">
        <f>IF(N(H76)&lt;=0,0,MAX(0,H76*(1+Plan!$C$15/12)-(Plan!$D$15+IF(Plan!$E$15=$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I77" s="18">
        <f>IF(N(I76)&lt;=0,0,MAX(0,I76*(1+Plan!$C$16/12)-(Plan!$D$16+IF(Plan!$E$16=$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J77" s="18">
        <f>IF(N(J76)&lt;=0,0,MAX(0,J76*(1+Plan!$C$17/12)-(Plan!$D$17+IF(Plan!$E$17=$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K77" s="18">
        <f>IF(N(K76)&lt;=0,0,MAX(0,K76*(1+Plan!$C$18/12)-(Plan!$D$18+IF(Plan!$E$18=$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c r="L77" s="19">
        <f>MIN(IF(N(B76)&gt;0,Plan!$E$9,999),IF(N(C76)&gt;0,Plan!$E$10,999),IF(N(D76)&gt;0,Plan!$E$11,999),IF(N(E76)&gt;0,Plan!$E$12,999),IF(N(F76)&gt;0,Plan!$E$13,999),IF(N(G76)&gt;0,Plan!$E$14,999),IF(N(H76)&gt;0,Plan!$E$15,999),IF(N(I76)&gt;0,Plan!$E$16,999),IF(N(J76)&gt;0,Plan!$E$17,999),IF(N(K76)&gt;0,Plan!$E$18,999))</f>
        <v/>
      </c>
      <c r="M77" s="18">
        <f>IF(N(B76)&lt;=0,0,MIN(B76*(1+Plan!$C$9/12),Plan!$D$9+IF(Plan!$E$9=$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IF(N(C76)&lt;=0,0,MIN(C76*(1+Plan!$C$10/12),Plan!$D$10+IF(Plan!$E$10=$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IF(N(D76)&lt;=0,0,MIN(D76*(1+Plan!$C$11/12),Plan!$D$11+IF(Plan!$E$11=$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IF(N(E76)&lt;=0,0,MIN(E76*(1+Plan!$C$12/12),Plan!$D$12+IF(Plan!$E$12=$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IF(N(F76)&lt;=0,0,MIN(F76*(1+Plan!$C$13/12),Plan!$D$13+IF(Plan!$E$13=$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IF(N(G76)&lt;=0,0,MIN(G76*(1+Plan!$C$14/12),Plan!$D$14+IF(Plan!$E$14=$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IF(N(H76)&lt;=0,0,MIN(H76*(1+Plan!$C$15/12),Plan!$D$15+IF(Plan!$E$15=$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IF(N(I76)&lt;=0,0,MIN(I76*(1+Plan!$C$16/12),Plan!$D$16+IF(Plan!$E$16=$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IF(N(J76)&lt;=0,0,MIN(J76*(1+Plan!$C$17/12),Plan!$D$17+IF(Plan!$E$17=$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IF(N(K76)&lt;=0,0,MIN(K76*(1+Plan!$C$18/12),Plan!$D$18+IF(Plan!$E$18=$L77,Plan!$B$5+IF(AND(N(Plan!$B$9)&gt;0,N(B76)&lt;=0),Plan!$D$9,0)+IF(AND(N(Plan!$B$10)&gt;0,N(C76)&lt;=0),Plan!$D$10,0)+IF(AND(N(Plan!$B$11)&gt;0,N(D76)&lt;=0),Plan!$D$11,0)+IF(AND(N(Plan!$B$12)&gt;0,N(E76)&lt;=0),Plan!$D$12,0)+IF(AND(N(Plan!$B$13)&gt;0,N(F76)&lt;=0),Plan!$D$13,0)+IF(AND(N(Plan!$B$14)&gt;0,N(G76)&lt;=0),Plan!$D$14,0)+IF(AND(N(Plan!$B$15)&gt;0,N(H76)&lt;=0),Plan!$D$15,0)+IF(AND(N(Plan!$B$16)&gt;0,N(I76)&lt;=0),Plan!$D$16,0)+IF(AND(N(Plan!$B$17)&gt;0,N(J76)&lt;=0),Plan!$D$17,0)+IF(AND(N(Plan!$B$18)&gt;0,N(K76)&lt;=0),Plan!$D$18,0),0)))</f>
        <v/>
      </c>
    </row>
    <row r="78">
      <c r="A78" s="17" t="n">
        <v>74</v>
      </c>
      <c r="B78" s="18">
        <f>IF(N(B77)&lt;=0,0,MAX(0,B77*(1+Plan!$C$9/12)-(Plan!$D$9+IF(Plan!$E$9=$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C78" s="18">
        <f>IF(N(C77)&lt;=0,0,MAX(0,C77*(1+Plan!$C$10/12)-(Plan!$D$10+IF(Plan!$E$10=$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D78" s="18">
        <f>IF(N(D77)&lt;=0,0,MAX(0,D77*(1+Plan!$C$11/12)-(Plan!$D$11+IF(Plan!$E$11=$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E78" s="18">
        <f>IF(N(E77)&lt;=0,0,MAX(0,E77*(1+Plan!$C$12/12)-(Plan!$D$12+IF(Plan!$E$12=$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F78" s="18">
        <f>IF(N(F77)&lt;=0,0,MAX(0,F77*(1+Plan!$C$13/12)-(Plan!$D$13+IF(Plan!$E$13=$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G78" s="18">
        <f>IF(N(G77)&lt;=0,0,MAX(0,G77*(1+Plan!$C$14/12)-(Plan!$D$14+IF(Plan!$E$14=$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H78" s="18">
        <f>IF(N(H77)&lt;=0,0,MAX(0,H77*(1+Plan!$C$15/12)-(Plan!$D$15+IF(Plan!$E$15=$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I78" s="18">
        <f>IF(N(I77)&lt;=0,0,MAX(0,I77*(1+Plan!$C$16/12)-(Plan!$D$16+IF(Plan!$E$16=$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J78" s="18">
        <f>IF(N(J77)&lt;=0,0,MAX(0,J77*(1+Plan!$C$17/12)-(Plan!$D$17+IF(Plan!$E$17=$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K78" s="18">
        <f>IF(N(K77)&lt;=0,0,MAX(0,K77*(1+Plan!$C$18/12)-(Plan!$D$18+IF(Plan!$E$18=$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c r="L78" s="19">
        <f>MIN(IF(N(B77)&gt;0,Plan!$E$9,999),IF(N(C77)&gt;0,Plan!$E$10,999),IF(N(D77)&gt;0,Plan!$E$11,999),IF(N(E77)&gt;0,Plan!$E$12,999),IF(N(F77)&gt;0,Plan!$E$13,999),IF(N(G77)&gt;0,Plan!$E$14,999),IF(N(H77)&gt;0,Plan!$E$15,999),IF(N(I77)&gt;0,Plan!$E$16,999),IF(N(J77)&gt;0,Plan!$E$17,999),IF(N(K77)&gt;0,Plan!$E$18,999))</f>
        <v/>
      </c>
      <c r="M78" s="18">
        <f>IF(N(B77)&lt;=0,0,MIN(B77*(1+Plan!$C$9/12),Plan!$D$9+IF(Plan!$E$9=$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IF(N(C77)&lt;=0,0,MIN(C77*(1+Plan!$C$10/12),Plan!$D$10+IF(Plan!$E$10=$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IF(N(D77)&lt;=0,0,MIN(D77*(1+Plan!$C$11/12),Plan!$D$11+IF(Plan!$E$11=$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IF(N(E77)&lt;=0,0,MIN(E77*(1+Plan!$C$12/12),Plan!$D$12+IF(Plan!$E$12=$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IF(N(F77)&lt;=0,0,MIN(F77*(1+Plan!$C$13/12),Plan!$D$13+IF(Plan!$E$13=$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IF(N(G77)&lt;=0,0,MIN(G77*(1+Plan!$C$14/12),Plan!$D$14+IF(Plan!$E$14=$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IF(N(H77)&lt;=0,0,MIN(H77*(1+Plan!$C$15/12),Plan!$D$15+IF(Plan!$E$15=$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IF(N(I77)&lt;=0,0,MIN(I77*(1+Plan!$C$16/12),Plan!$D$16+IF(Plan!$E$16=$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IF(N(J77)&lt;=0,0,MIN(J77*(1+Plan!$C$17/12),Plan!$D$17+IF(Plan!$E$17=$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IF(N(K77)&lt;=0,0,MIN(K77*(1+Plan!$C$18/12),Plan!$D$18+IF(Plan!$E$18=$L78,Plan!$B$5+IF(AND(N(Plan!$B$9)&gt;0,N(B77)&lt;=0),Plan!$D$9,0)+IF(AND(N(Plan!$B$10)&gt;0,N(C77)&lt;=0),Plan!$D$10,0)+IF(AND(N(Plan!$B$11)&gt;0,N(D77)&lt;=0),Plan!$D$11,0)+IF(AND(N(Plan!$B$12)&gt;0,N(E77)&lt;=0),Plan!$D$12,0)+IF(AND(N(Plan!$B$13)&gt;0,N(F77)&lt;=0),Plan!$D$13,0)+IF(AND(N(Plan!$B$14)&gt;0,N(G77)&lt;=0),Plan!$D$14,0)+IF(AND(N(Plan!$B$15)&gt;0,N(H77)&lt;=0),Plan!$D$15,0)+IF(AND(N(Plan!$B$16)&gt;0,N(I77)&lt;=0),Plan!$D$16,0)+IF(AND(N(Plan!$B$17)&gt;0,N(J77)&lt;=0),Plan!$D$17,0)+IF(AND(N(Plan!$B$18)&gt;0,N(K77)&lt;=0),Plan!$D$18,0),0)))</f>
        <v/>
      </c>
    </row>
    <row r="79">
      <c r="A79" s="17" t="n">
        <v>75</v>
      </c>
      <c r="B79" s="18">
        <f>IF(N(B78)&lt;=0,0,MAX(0,B78*(1+Plan!$C$9/12)-(Plan!$D$9+IF(Plan!$E$9=$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C79" s="18">
        <f>IF(N(C78)&lt;=0,0,MAX(0,C78*(1+Plan!$C$10/12)-(Plan!$D$10+IF(Plan!$E$10=$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D79" s="18">
        <f>IF(N(D78)&lt;=0,0,MAX(0,D78*(1+Plan!$C$11/12)-(Plan!$D$11+IF(Plan!$E$11=$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E79" s="18">
        <f>IF(N(E78)&lt;=0,0,MAX(0,E78*(1+Plan!$C$12/12)-(Plan!$D$12+IF(Plan!$E$12=$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F79" s="18">
        <f>IF(N(F78)&lt;=0,0,MAX(0,F78*(1+Plan!$C$13/12)-(Plan!$D$13+IF(Plan!$E$13=$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G79" s="18">
        <f>IF(N(G78)&lt;=0,0,MAX(0,G78*(1+Plan!$C$14/12)-(Plan!$D$14+IF(Plan!$E$14=$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H79" s="18">
        <f>IF(N(H78)&lt;=0,0,MAX(0,H78*(1+Plan!$C$15/12)-(Plan!$D$15+IF(Plan!$E$15=$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I79" s="18">
        <f>IF(N(I78)&lt;=0,0,MAX(0,I78*(1+Plan!$C$16/12)-(Plan!$D$16+IF(Plan!$E$16=$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J79" s="18">
        <f>IF(N(J78)&lt;=0,0,MAX(0,J78*(1+Plan!$C$17/12)-(Plan!$D$17+IF(Plan!$E$17=$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K79" s="18">
        <f>IF(N(K78)&lt;=0,0,MAX(0,K78*(1+Plan!$C$18/12)-(Plan!$D$18+IF(Plan!$E$18=$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c r="L79" s="19">
        <f>MIN(IF(N(B78)&gt;0,Plan!$E$9,999),IF(N(C78)&gt;0,Plan!$E$10,999),IF(N(D78)&gt;0,Plan!$E$11,999),IF(N(E78)&gt;0,Plan!$E$12,999),IF(N(F78)&gt;0,Plan!$E$13,999),IF(N(G78)&gt;0,Plan!$E$14,999),IF(N(H78)&gt;0,Plan!$E$15,999),IF(N(I78)&gt;0,Plan!$E$16,999),IF(N(J78)&gt;0,Plan!$E$17,999),IF(N(K78)&gt;0,Plan!$E$18,999))</f>
        <v/>
      </c>
      <c r="M79" s="18">
        <f>IF(N(B78)&lt;=0,0,MIN(B78*(1+Plan!$C$9/12),Plan!$D$9+IF(Plan!$E$9=$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IF(N(C78)&lt;=0,0,MIN(C78*(1+Plan!$C$10/12),Plan!$D$10+IF(Plan!$E$10=$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IF(N(D78)&lt;=0,0,MIN(D78*(1+Plan!$C$11/12),Plan!$D$11+IF(Plan!$E$11=$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IF(N(E78)&lt;=0,0,MIN(E78*(1+Plan!$C$12/12),Plan!$D$12+IF(Plan!$E$12=$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IF(N(F78)&lt;=0,0,MIN(F78*(1+Plan!$C$13/12),Plan!$D$13+IF(Plan!$E$13=$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IF(N(G78)&lt;=0,0,MIN(G78*(1+Plan!$C$14/12),Plan!$D$14+IF(Plan!$E$14=$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IF(N(H78)&lt;=0,0,MIN(H78*(1+Plan!$C$15/12),Plan!$D$15+IF(Plan!$E$15=$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IF(N(I78)&lt;=0,0,MIN(I78*(1+Plan!$C$16/12),Plan!$D$16+IF(Plan!$E$16=$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IF(N(J78)&lt;=0,0,MIN(J78*(1+Plan!$C$17/12),Plan!$D$17+IF(Plan!$E$17=$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IF(N(K78)&lt;=0,0,MIN(K78*(1+Plan!$C$18/12),Plan!$D$18+IF(Plan!$E$18=$L79,Plan!$B$5+IF(AND(N(Plan!$B$9)&gt;0,N(B78)&lt;=0),Plan!$D$9,0)+IF(AND(N(Plan!$B$10)&gt;0,N(C78)&lt;=0),Plan!$D$10,0)+IF(AND(N(Plan!$B$11)&gt;0,N(D78)&lt;=0),Plan!$D$11,0)+IF(AND(N(Plan!$B$12)&gt;0,N(E78)&lt;=0),Plan!$D$12,0)+IF(AND(N(Plan!$B$13)&gt;0,N(F78)&lt;=0),Plan!$D$13,0)+IF(AND(N(Plan!$B$14)&gt;0,N(G78)&lt;=0),Plan!$D$14,0)+IF(AND(N(Plan!$B$15)&gt;0,N(H78)&lt;=0),Plan!$D$15,0)+IF(AND(N(Plan!$B$16)&gt;0,N(I78)&lt;=0),Plan!$D$16,0)+IF(AND(N(Plan!$B$17)&gt;0,N(J78)&lt;=0),Plan!$D$17,0)+IF(AND(N(Plan!$B$18)&gt;0,N(K78)&lt;=0),Plan!$D$18,0),0)))</f>
        <v/>
      </c>
    </row>
    <row r="80">
      <c r="A80" s="17" t="n">
        <v>76</v>
      </c>
      <c r="B80" s="18">
        <f>IF(N(B79)&lt;=0,0,MAX(0,B79*(1+Plan!$C$9/12)-(Plan!$D$9+IF(Plan!$E$9=$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C80" s="18">
        <f>IF(N(C79)&lt;=0,0,MAX(0,C79*(1+Plan!$C$10/12)-(Plan!$D$10+IF(Plan!$E$10=$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D80" s="18">
        <f>IF(N(D79)&lt;=0,0,MAX(0,D79*(1+Plan!$C$11/12)-(Plan!$D$11+IF(Plan!$E$11=$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E80" s="18">
        <f>IF(N(E79)&lt;=0,0,MAX(0,E79*(1+Plan!$C$12/12)-(Plan!$D$12+IF(Plan!$E$12=$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F80" s="18">
        <f>IF(N(F79)&lt;=0,0,MAX(0,F79*(1+Plan!$C$13/12)-(Plan!$D$13+IF(Plan!$E$13=$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G80" s="18">
        <f>IF(N(G79)&lt;=0,0,MAX(0,G79*(1+Plan!$C$14/12)-(Plan!$D$14+IF(Plan!$E$14=$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H80" s="18">
        <f>IF(N(H79)&lt;=0,0,MAX(0,H79*(1+Plan!$C$15/12)-(Plan!$D$15+IF(Plan!$E$15=$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I80" s="18">
        <f>IF(N(I79)&lt;=0,0,MAX(0,I79*(1+Plan!$C$16/12)-(Plan!$D$16+IF(Plan!$E$16=$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J80" s="18">
        <f>IF(N(J79)&lt;=0,0,MAX(0,J79*(1+Plan!$C$17/12)-(Plan!$D$17+IF(Plan!$E$17=$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K80" s="18">
        <f>IF(N(K79)&lt;=0,0,MAX(0,K79*(1+Plan!$C$18/12)-(Plan!$D$18+IF(Plan!$E$18=$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c r="L80" s="19">
        <f>MIN(IF(N(B79)&gt;0,Plan!$E$9,999),IF(N(C79)&gt;0,Plan!$E$10,999),IF(N(D79)&gt;0,Plan!$E$11,999),IF(N(E79)&gt;0,Plan!$E$12,999),IF(N(F79)&gt;0,Plan!$E$13,999),IF(N(G79)&gt;0,Plan!$E$14,999),IF(N(H79)&gt;0,Plan!$E$15,999),IF(N(I79)&gt;0,Plan!$E$16,999),IF(N(J79)&gt;0,Plan!$E$17,999),IF(N(K79)&gt;0,Plan!$E$18,999))</f>
        <v/>
      </c>
      <c r="M80" s="18">
        <f>IF(N(B79)&lt;=0,0,MIN(B79*(1+Plan!$C$9/12),Plan!$D$9+IF(Plan!$E$9=$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IF(N(C79)&lt;=0,0,MIN(C79*(1+Plan!$C$10/12),Plan!$D$10+IF(Plan!$E$10=$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IF(N(D79)&lt;=0,0,MIN(D79*(1+Plan!$C$11/12),Plan!$D$11+IF(Plan!$E$11=$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IF(N(E79)&lt;=0,0,MIN(E79*(1+Plan!$C$12/12),Plan!$D$12+IF(Plan!$E$12=$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IF(N(F79)&lt;=0,0,MIN(F79*(1+Plan!$C$13/12),Plan!$D$13+IF(Plan!$E$13=$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IF(N(G79)&lt;=0,0,MIN(G79*(1+Plan!$C$14/12),Plan!$D$14+IF(Plan!$E$14=$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IF(N(H79)&lt;=0,0,MIN(H79*(1+Plan!$C$15/12),Plan!$D$15+IF(Plan!$E$15=$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IF(N(I79)&lt;=0,0,MIN(I79*(1+Plan!$C$16/12),Plan!$D$16+IF(Plan!$E$16=$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IF(N(J79)&lt;=0,0,MIN(J79*(1+Plan!$C$17/12),Plan!$D$17+IF(Plan!$E$17=$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IF(N(K79)&lt;=0,0,MIN(K79*(1+Plan!$C$18/12),Plan!$D$18+IF(Plan!$E$18=$L80,Plan!$B$5+IF(AND(N(Plan!$B$9)&gt;0,N(B79)&lt;=0),Plan!$D$9,0)+IF(AND(N(Plan!$B$10)&gt;0,N(C79)&lt;=0),Plan!$D$10,0)+IF(AND(N(Plan!$B$11)&gt;0,N(D79)&lt;=0),Plan!$D$11,0)+IF(AND(N(Plan!$B$12)&gt;0,N(E79)&lt;=0),Plan!$D$12,0)+IF(AND(N(Plan!$B$13)&gt;0,N(F79)&lt;=0),Plan!$D$13,0)+IF(AND(N(Plan!$B$14)&gt;0,N(G79)&lt;=0),Plan!$D$14,0)+IF(AND(N(Plan!$B$15)&gt;0,N(H79)&lt;=0),Plan!$D$15,0)+IF(AND(N(Plan!$B$16)&gt;0,N(I79)&lt;=0),Plan!$D$16,0)+IF(AND(N(Plan!$B$17)&gt;0,N(J79)&lt;=0),Plan!$D$17,0)+IF(AND(N(Plan!$B$18)&gt;0,N(K79)&lt;=0),Plan!$D$18,0),0)))</f>
        <v/>
      </c>
    </row>
    <row r="81">
      <c r="A81" s="17" t="n">
        <v>77</v>
      </c>
      <c r="B81" s="18">
        <f>IF(N(B80)&lt;=0,0,MAX(0,B80*(1+Plan!$C$9/12)-(Plan!$D$9+IF(Plan!$E$9=$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C81" s="18">
        <f>IF(N(C80)&lt;=0,0,MAX(0,C80*(1+Plan!$C$10/12)-(Plan!$D$10+IF(Plan!$E$10=$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D81" s="18">
        <f>IF(N(D80)&lt;=0,0,MAX(0,D80*(1+Plan!$C$11/12)-(Plan!$D$11+IF(Plan!$E$11=$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E81" s="18">
        <f>IF(N(E80)&lt;=0,0,MAX(0,E80*(1+Plan!$C$12/12)-(Plan!$D$12+IF(Plan!$E$12=$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F81" s="18">
        <f>IF(N(F80)&lt;=0,0,MAX(0,F80*(1+Plan!$C$13/12)-(Plan!$D$13+IF(Plan!$E$13=$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G81" s="18">
        <f>IF(N(G80)&lt;=0,0,MAX(0,G80*(1+Plan!$C$14/12)-(Plan!$D$14+IF(Plan!$E$14=$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H81" s="18">
        <f>IF(N(H80)&lt;=0,0,MAX(0,H80*(1+Plan!$C$15/12)-(Plan!$D$15+IF(Plan!$E$15=$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I81" s="18">
        <f>IF(N(I80)&lt;=0,0,MAX(0,I80*(1+Plan!$C$16/12)-(Plan!$D$16+IF(Plan!$E$16=$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J81" s="18">
        <f>IF(N(J80)&lt;=0,0,MAX(0,J80*(1+Plan!$C$17/12)-(Plan!$D$17+IF(Plan!$E$17=$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K81" s="18">
        <f>IF(N(K80)&lt;=0,0,MAX(0,K80*(1+Plan!$C$18/12)-(Plan!$D$18+IF(Plan!$E$18=$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c r="L81" s="19">
        <f>MIN(IF(N(B80)&gt;0,Plan!$E$9,999),IF(N(C80)&gt;0,Plan!$E$10,999),IF(N(D80)&gt;0,Plan!$E$11,999),IF(N(E80)&gt;0,Plan!$E$12,999),IF(N(F80)&gt;0,Plan!$E$13,999),IF(N(G80)&gt;0,Plan!$E$14,999),IF(N(H80)&gt;0,Plan!$E$15,999),IF(N(I80)&gt;0,Plan!$E$16,999),IF(N(J80)&gt;0,Plan!$E$17,999),IF(N(K80)&gt;0,Plan!$E$18,999))</f>
        <v/>
      </c>
      <c r="M81" s="18">
        <f>IF(N(B80)&lt;=0,0,MIN(B80*(1+Plan!$C$9/12),Plan!$D$9+IF(Plan!$E$9=$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IF(N(C80)&lt;=0,0,MIN(C80*(1+Plan!$C$10/12),Plan!$D$10+IF(Plan!$E$10=$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IF(N(D80)&lt;=0,0,MIN(D80*(1+Plan!$C$11/12),Plan!$D$11+IF(Plan!$E$11=$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IF(N(E80)&lt;=0,0,MIN(E80*(1+Plan!$C$12/12),Plan!$D$12+IF(Plan!$E$12=$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IF(N(F80)&lt;=0,0,MIN(F80*(1+Plan!$C$13/12),Plan!$D$13+IF(Plan!$E$13=$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IF(N(G80)&lt;=0,0,MIN(G80*(1+Plan!$C$14/12),Plan!$D$14+IF(Plan!$E$14=$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IF(N(H80)&lt;=0,0,MIN(H80*(1+Plan!$C$15/12),Plan!$D$15+IF(Plan!$E$15=$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IF(N(I80)&lt;=0,0,MIN(I80*(1+Plan!$C$16/12),Plan!$D$16+IF(Plan!$E$16=$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IF(N(J80)&lt;=0,0,MIN(J80*(1+Plan!$C$17/12),Plan!$D$17+IF(Plan!$E$17=$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IF(N(K80)&lt;=0,0,MIN(K80*(1+Plan!$C$18/12),Plan!$D$18+IF(Plan!$E$18=$L81,Plan!$B$5+IF(AND(N(Plan!$B$9)&gt;0,N(B80)&lt;=0),Plan!$D$9,0)+IF(AND(N(Plan!$B$10)&gt;0,N(C80)&lt;=0),Plan!$D$10,0)+IF(AND(N(Plan!$B$11)&gt;0,N(D80)&lt;=0),Plan!$D$11,0)+IF(AND(N(Plan!$B$12)&gt;0,N(E80)&lt;=0),Plan!$D$12,0)+IF(AND(N(Plan!$B$13)&gt;0,N(F80)&lt;=0),Plan!$D$13,0)+IF(AND(N(Plan!$B$14)&gt;0,N(G80)&lt;=0),Plan!$D$14,0)+IF(AND(N(Plan!$B$15)&gt;0,N(H80)&lt;=0),Plan!$D$15,0)+IF(AND(N(Plan!$B$16)&gt;0,N(I80)&lt;=0),Plan!$D$16,0)+IF(AND(N(Plan!$B$17)&gt;0,N(J80)&lt;=0),Plan!$D$17,0)+IF(AND(N(Plan!$B$18)&gt;0,N(K80)&lt;=0),Plan!$D$18,0),0)))</f>
        <v/>
      </c>
    </row>
    <row r="82">
      <c r="A82" s="17" t="n">
        <v>78</v>
      </c>
      <c r="B82" s="18">
        <f>IF(N(B81)&lt;=0,0,MAX(0,B81*(1+Plan!$C$9/12)-(Plan!$D$9+IF(Plan!$E$9=$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C82" s="18">
        <f>IF(N(C81)&lt;=0,0,MAX(0,C81*(1+Plan!$C$10/12)-(Plan!$D$10+IF(Plan!$E$10=$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D82" s="18">
        <f>IF(N(D81)&lt;=0,0,MAX(0,D81*(1+Plan!$C$11/12)-(Plan!$D$11+IF(Plan!$E$11=$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E82" s="18">
        <f>IF(N(E81)&lt;=0,0,MAX(0,E81*(1+Plan!$C$12/12)-(Plan!$D$12+IF(Plan!$E$12=$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F82" s="18">
        <f>IF(N(F81)&lt;=0,0,MAX(0,F81*(1+Plan!$C$13/12)-(Plan!$D$13+IF(Plan!$E$13=$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G82" s="18">
        <f>IF(N(G81)&lt;=0,0,MAX(0,G81*(1+Plan!$C$14/12)-(Plan!$D$14+IF(Plan!$E$14=$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H82" s="18">
        <f>IF(N(H81)&lt;=0,0,MAX(0,H81*(1+Plan!$C$15/12)-(Plan!$D$15+IF(Plan!$E$15=$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I82" s="18">
        <f>IF(N(I81)&lt;=0,0,MAX(0,I81*(1+Plan!$C$16/12)-(Plan!$D$16+IF(Plan!$E$16=$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J82" s="18">
        <f>IF(N(J81)&lt;=0,0,MAX(0,J81*(1+Plan!$C$17/12)-(Plan!$D$17+IF(Plan!$E$17=$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K82" s="18">
        <f>IF(N(K81)&lt;=0,0,MAX(0,K81*(1+Plan!$C$18/12)-(Plan!$D$18+IF(Plan!$E$18=$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c r="L82" s="19">
        <f>MIN(IF(N(B81)&gt;0,Plan!$E$9,999),IF(N(C81)&gt;0,Plan!$E$10,999),IF(N(D81)&gt;0,Plan!$E$11,999),IF(N(E81)&gt;0,Plan!$E$12,999),IF(N(F81)&gt;0,Plan!$E$13,999),IF(N(G81)&gt;0,Plan!$E$14,999),IF(N(H81)&gt;0,Plan!$E$15,999),IF(N(I81)&gt;0,Plan!$E$16,999),IF(N(J81)&gt;0,Plan!$E$17,999),IF(N(K81)&gt;0,Plan!$E$18,999))</f>
        <v/>
      </c>
      <c r="M82" s="18">
        <f>IF(N(B81)&lt;=0,0,MIN(B81*(1+Plan!$C$9/12),Plan!$D$9+IF(Plan!$E$9=$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IF(N(C81)&lt;=0,0,MIN(C81*(1+Plan!$C$10/12),Plan!$D$10+IF(Plan!$E$10=$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IF(N(D81)&lt;=0,0,MIN(D81*(1+Plan!$C$11/12),Plan!$D$11+IF(Plan!$E$11=$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IF(N(E81)&lt;=0,0,MIN(E81*(1+Plan!$C$12/12),Plan!$D$12+IF(Plan!$E$12=$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IF(N(F81)&lt;=0,0,MIN(F81*(1+Plan!$C$13/12),Plan!$D$13+IF(Plan!$E$13=$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IF(N(G81)&lt;=0,0,MIN(G81*(1+Plan!$C$14/12),Plan!$D$14+IF(Plan!$E$14=$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IF(N(H81)&lt;=0,0,MIN(H81*(1+Plan!$C$15/12),Plan!$D$15+IF(Plan!$E$15=$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IF(N(I81)&lt;=0,0,MIN(I81*(1+Plan!$C$16/12),Plan!$D$16+IF(Plan!$E$16=$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IF(N(J81)&lt;=0,0,MIN(J81*(1+Plan!$C$17/12),Plan!$D$17+IF(Plan!$E$17=$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IF(N(K81)&lt;=0,0,MIN(K81*(1+Plan!$C$18/12),Plan!$D$18+IF(Plan!$E$18=$L82,Plan!$B$5+IF(AND(N(Plan!$B$9)&gt;0,N(B81)&lt;=0),Plan!$D$9,0)+IF(AND(N(Plan!$B$10)&gt;0,N(C81)&lt;=0),Plan!$D$10,0)+IF(AND(N(Plan!$B$11)&gt;0,N(D81)&lt;=0),Plan!$D$11,0)+IF(AND(N(Plan!$B$12)&gt;0,N(E81)&lt;=0),Plan!$D$12,0)+IF(AND(N(Plan!$B$13)&gt;0,N(F81)&lt;=0),Plan!$D$13,0)+IF(AND(N(Plan!$B$14)&gt;0,N(G81)&lt;=0),Plan!$D$14,0)+IF(AND(N(Plan!$B$15)&gt;0,N(H81)&lt;=0),Plan!$D$15,0)+IF(AND(N(Plan!$B$16)&gt;0,N(I81)&lt;=0),Plan!$D$16,0)+IF(AND(N(Plan!$B$17)&gt;0,N(J81)&lt;=0),Plan!$D$17,0)+IF(AND(N(Plan!$B$18)&gt;0,N(K81)&lt;=0),Plan!$D$18,0),0)))</f>
        <v/>
      </c>
    </row>
    <row r="83">
      <c r="A83" s="17" t="n">
        <v>79</v>
      </c>
      <c r="B83" s="18">
        <f>IF(N(B82)&lt;=0,0,MAX(0,B82*(1+Plan!$C$9/12)-(Plan!$D$9+IF(Plan!$E$9=$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C83" s="18">
        <f>IF(N(C82)&lt;=0,0,MAX(0,C82*(1+Plan!$C$10/12)-(Plan!$D$10+IF(Plan!$E$10=$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D83" s="18">
        <f>IF(N(D82)&lt;=0,0,MAX(0,D82*(1+Plan!$C$11/12)-(Plan!$D$11+IF(Plan!$E$11=$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E83" s="18">
        <f>IF(N(E82)&lt;=0,0,MAX(0,E82*(1+Plan!$C$12/12)-(Plan!$D$12+IF(Plan!$E$12=$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F83" s="18">
        <f>IF(N(F82)&lt;=0,0,MAX(0,F82*(1+Plan!$C$13/12)-(Plan!$D$13+IF(Plan!$E$13=$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G83" s="18">
        <f>IF(N(G82)&lt;=0,0,MAX(0,G82*(1+Plan!$C$14/12)-(Plan!$D$14+IF(Plan!$E$14=$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H83" s="18">
        <f>IF(N(H82)&lt;=0,0,MAX(0,H82*(1+Plan!$C$15/12)-(Plan!$D$15+IF(Plan!$E$15=$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I83" s="18">
        <f>IF(N(I82)&lt;=0,0,MAX(0,I82*(1+Plan!$C$16/12)-(Plan!$D$16+IF(Plan!$E$16=$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J83" s="18">
        <f>IF(N(J82)&lt;=0,0,MAX(0,J82*(1+Plan!$C$17/12)-(Plan!$D$17+IF(Plan!$E$17=$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K83" s="18">
        <f>IF(N(K82)&lt;=0,0,MAX(0,K82*(1+Plan!$C$18/12)-(Plan!$D$18+IF(Plan!$E$18=$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c r="L83" s="19">
        <f>MIN(IF(N(B82)&gt;0,Plan!$E$9,999),IF(N(C82)&gt;0,Plan!$E$10,999),IF(N(D82)&gt;0,Plan!$E$11,999),IF(N(E82)&gt;0,Plan!$E$12,999),IF(N(F82)&gt;0,Plan!$E$13,999),IF(N(G82)&gt;0,Plan!$E$14,999),IF(N(H82)&gt;0,Plan!$E$15,999),IF(N(I82)&gt;0,Plan!$E$16,999),IF(N(J82)&gt;0,Plan!$E$17,999),IF(N(K82)&gt;0,Plan!$E$18,999))</f>
        <v/>
      </c>
      <c r="M83" s="18">
        <f>IF(N(B82)&lt;=0,0,MIN(B82*(1+Plan!$C$9/12),Plan!$D$9+IF(Plan!$E$9=$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IF(N(C82)&lt;=0,0,MIN(C82*(1+Plan!$C$10/12),Plan!$D$10+IF(Plan!$E$10=$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IF(N(D82)&lt;=0,0,MIN(D82*(1+Plan!$C$11/12),Plan!$D$11+IF(Plan!$E$11=$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IF(N(E82)&lt;=0,0,MIN(E82*(1+Plan!$C$12/12),Plan!$D$12+IF(Plan!$E$12=$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IF(N(F82)&lt;=0,0,MIN(F82*(1+Plan!$C$13/12),Plan!$D$13+IF(Plan!$E$13=$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IF(N(G82)&lt;=0,0,MIN(G82*(1+Plan!$C$14/12),Plan!$D$14+IF(Plan!$E$14=$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IF(N(H82)&lt;=0,0,MIN(H82*(1+Plan!$C$15/12),Plan!$D$15+IF(Plan!$E$15=$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IF(N(I82)&lt;=0,0,MIN(I82*(1+Plan!$C$16/12),Plan!$D$16+IF(Plan!$E$16=$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IF(N(J82)&lt;=0,0,MIN(J82*(1+Plan!$C$17/12),Plan!$D$17+IF(Plan!$E$17=$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IF(N(K82)&lt;=0,0,MIN(K82*(1+Plan!$C$18/12),Plan!$D$18+IF(Plan!$E$18=$L83,Plan!$B$5+IF(AND(N(Plan!$B$9)&gt;0,N(B82)&lt;=0),Plan!$D$9,0)+IF(AND(N(Plan!$B$10)&gt;0,N(C82)&lt;=0),Plan!$D$10,0)+IF(AND(N(Plan!$B$11)&gt;0,N(D82)&lt;=0),Plan!$D$11,0)+IF(AND(N(Plan!$B$12)&gt;0,N(E82)&lt;=0),Plan!$D$12,0)+IF(AND(N(Plan!$B$13)&gt;0,N(F82)&lt;=0),Plan!$D$13,0)+IF(AND(N(Plan!$B$14)&gt;0,N(G82)&lt;=0),Plan!$D$14,0)+IF(AND(N(Plan!$B$15)&gt;0,N(H82)&lt;=0),Plan!$D$15,0)+IF(AND(N(Plan!$B$16)&gt;0,N(I82)&lt;=0),Plan!$D$16,0)+IF(AND(N(Plan!$B$17)&gt;0,N(J82)&lt;=0),Plan!$D$17,0)+IF(AND(N(Plan!$B$18)&gt;0,N(K82)&lt;=0),Plan!$D$18,0),0)))</f>
        <v/>
      </c>
    </row>
    <row r="84">
      <c r="A84" s="17" t="n">
        <v>80</v>
      </c>
      <c r="B84" s="18">
        <f>IF(N(B83)&lt;=0,0,MAX(0,B83*(1+Plan!$C$9/12)-(Plan!$D$9+IF(Plan!$E$9=$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C84" s="18">
        <f>IF(N(C83)&lt;=0,0,MAX(0,C83*(1+Plan!$C$10/12)-(Plan!$D$10+IF(Plan!$E$10=$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D84" s="18">
        <f>IF(N(D83)&lt;=0,0,MAX(0,D83*(1+Plan!$C$11/12)-(Plan!$D$11+IF(Plan!$E$11=$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E84" s="18">
        <f>IF(N(E83)&lt;=0,0,MAX(0,E83*(1+Plan!$C$12/12)-(Plan!$D$12+IF(Plan!$E$12=$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F84" s="18">
        <f>IF(N(F83)&lt;=0,0,MAX(0,F83*(1+Plan!$C$13/12)-(Plan!$D$13+IF(Plan!$E$13=$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G84" s="18">
        <f>IF(N(G83)&lt;=0,0,MAX(0,G83*(1+Plan!$C$14/12)-(Plan!$D$14+IF(Plan!$E$14=$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H84" s="18">
        <f>IF(N(H83)&lt;=0,0,MAX(0,H83*(1+Plan!$C$15/12)-(Plan!$D$15+IF(Plan!$E$15=$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I84" s="18">
        <f>IF(N(I83)&lt;=0,0,MAX(0,I83*(1+Plan!$C$16/12)-(Plan!$D$16+IF(Plan!$E$16=$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J84" s="18">
        <f>IF(N(J83)&lt;=0,0,MAX(0,J83*(1+Plan!$C$17/12)-(Plan!$D$17+IF(Plan!$E$17=$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K84" s="18">
        <f>IF(N(K83)&lt;=0,0,MAX(0,K83*(1+Plan!$C$18/12)-(Plan!$D$18+IF(Plan!$E$18=$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c r="L84" s="19">
        <f>MIN(IF(N(B83)&gt;0,Plan!$E$9,999),IF(N(C83)&gt;0,Plan!$E$10,999),IF(N(D83)&gt;0,Plan!$E$11,999),IF(N(E83)&gt;0,Plan!$E$12,999),IF(N(F83)&gt;0,Plan!$E$13,999),IF(N(G83)&gt;0,Plan!$E$14,999),IF(N(H83)&gt;0,Plan!$E$15,999),IF(N(I83)&gt;0,Plan!$E$16,999),IF(N(J83)&gt;0,Plan!$E$17,999),IF(N(K83)&gt;0,Plan!$E$18,999))</f>
        <v/>
      </c>
      <c r="M84" s="18">
        <f>IF(N(B83)&lt;=0,0,MIN(B83*(1+Plan!$C$9/12),Plan!$D$9+IF(Plan!$E$9=$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IF(N(C83)&lt;=0,0,MIN(C83*(1+Plan!$C$10/12),Plan!$D$10+IF(Plan!$E$10=$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IF(N(D83)&lt;=0,0,MIN(D83*(1+Plan!$C$11/12),Plan!$D$11+IF(Plan!$E$11=$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IF(N(E83)&lt;=0,0,MIN(E83*(1+Plan!$C$12/12),Plan!$D$12+IF(Plan!$E$12=$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IF(N(F83)&lt;=0,0,MIN(F83*(1+Plan!$C$13/12),Plan!$D$13+IF(Plan!$E$13=$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IF(N(G83)&lt;=0,0,MIN(G83*(1+Plan!$C$14/12),Plan!$D$14+IF(Plan!$E$14=$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IF(N(H83)&lt;=0,0,MIN(H83*(1+Plan!$C$15/12),Plan!$D$15+IF(Plan!$E$15=$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IF(N(I83)&lt;=0,0,MIN(I83*(1+Plan!$C$16/12),Plan!$D$16+IF(Plan!$E$16=$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IF(N(J83)&lt;=0,0,MIN(J83*(1+Plan!$C$17/12),Plan!$D$17+IF(Plan!$E$17=$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IF(N(K83)&lt;=0,0,MIN(K83*(1+Plan!$C$18/12),Plan!$D$18+IF(Plan!$E$18=$L84,Plan!$B$5+IF(AND(N(Plan!$B$9)&gt;0,N(B83)&lt;=0),Plan!$D$9,0)+IF(AND(N(Plan!$B$10)&gt;0,N(C83)&lt;=0),Plan!$D$10,0)+IF(AND(N(Plan!$B$11)&gt;0,N(D83)&lt;=0),Plan!$D$11,0)+IF(AND(N(Plan!$B$12)&gt;0,N(E83)&lt;=0),Plan!$D$12,0)+IF(AND(N(Plan!$B$13)&gt;0,N(F83)&lt;=0),Plan!$D$13,0)+IF(AND(N(Plan!$B$14)&gt;0,N(G83)&lt;=0),Plan!$D$14,0)+IF(AND(N(Plan!$B$15)&gt;0,N(H83)&lt;=0),Plan!$D$15,0)+IF(AND(N(Plan!$B$16)&gt;0,N(I83)&lt;=0),Plan!$D$16,0)+IF(AND(N(Plan!$B$17)&gt;0,N(J83)&lt;=0),Plan!$D$17,0)+IF(AND(N(Plan!$B$18)&gt;0,N(K83)&lt;=0),Plan!$D$18,0),0)))</f>
        <v/>
      </c>
    </row>
    <row r="85">
      <c r="A85" s="17" t="n">
        <v>81</v>
      </c>
      <c r="B85" s="18">
        <f>IF(N(B84)&lt;=0,0,MAX(0,B84*(1+Plan!$C$9/12)-(Plan!$D$9+IF(Plan!$E$9=$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C85" s="18">
        <f>IF(N(C84)&lt;=0,0,MAX(0,C84*(1+Plan!$C$10/12)-(Plan!$D$10+IF(Plan!$E$10=$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D85" s="18">
        <f>IF(N(D84)&lt;=0,0,MAX(0,D84*(1+Plan!$C$11/12)-(Plan!$D$11+IF(Plan!$E$11=$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E85" s="18">
        <f>IF(N(E84)&lt;=0,0,MAX(0,E84*(1+Plan!$C$12/12)-(Plan!$D$12+IF(Plan!$E$12=$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F85" s="18">
        <f>IF(N(F84)&lt;=0,0,MAX(0,F84*(1+Plan!$C$13/12)-(Plan!$D$13+IF(Plan!$E$13=$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G85" s="18">
        <f>IF(N(G84)&lt;=0,0,MAX(0,G84*(1+Plan!$C$14/12)-(Plan!$D$14+IF(Plan!$E$14=$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H85" s="18">
        <f>IF(N(H84)&lt;=0,0,MAX(0,H84*(1+Plan!$C$15/12)-(Plan!$D$15+IF(Plan!$E$15=$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I85" s="18">
        <f>IF(N(I84)&lt;=0,0,MAX(0,I84*(1+Plan!$C$16/12)-(Plan!$D$16+IF(Plan!$E$16=$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J85" s="18">
        <f>IF(N(J84)&lt;=0,0,MAX(0,J84*(1+Plan!$C$17/12)-(Plan!$D$17+IF(Plan!$E$17=$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K85" s="18">
        <f>IF(N(K84)&lt;=0,0,MAX(0,K84*(1+Plan!$C$18/12)-(Plan!$D$18+IF(Plan!$E$18=$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c r="L85" s="19">
        <f>MIN(IF(N(B84)&gt;0,Plan!$E$9,999),IF(N(C84)&gt;0,Plan!$E$10,999),IF(N(D84)&gt;0,Plan!$E$11,999),IF(N(E84)&gt;0,Plan!$E$12,999),IF(N(F84)&gt;0,Plan!$E$13,999),IF(N(G84)&gt;0,Plan!$E$14,999),IF(N(H84)&gt;0,Plan!$E$15,999),IF(N(I84)&gt;0,Plan!$E$16,999),IF(N(J84)&gt;0,Plan!$E$17,999),IF(N(K84)&gt;0,Plan!$E$18,999))</f>
        <v/>
      </c>
      <c r="M85" s="18">
        <f>IF(N(B84)&lt;=0,0,MIN(B84*(1+Plan!$C$9/12),Plan!$D$9+IF(Plan!$E$9=$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IF(N(C84)&lt;=0,0,MIN(C84*(1+Plan!$C$10/12),Plan!$D$10+IF(Plan!$E$10=$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IF(N(D84)&lt;=0,0,MIN(D84*(1+Plan!$C$11/12),Plan!$D$11+IF(Plan!$E$11=$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IF(N(E84)&lt;=0,0,MIN(E84*(1+Plan!$C$12/12),Plan!$D$12+IF(Plan!$E$12=$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IF(N(F84)&lt;=0,0,MIN(F84*(1+Plan!$C$13/12),Plan!$D$13+IF(Plan!$E$13=$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IF(N(G84)&lt;=0,0,MIN(G84*(1+Plan!$C$14/12),Plan!$D$14+IF(Plan!$E$14=$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IF(N(H84)&lt;=0,0,MIN(H84*(1+Plan!$C$15/12),Plan!$D$15+IF(Plan!$E$15=$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IF(N(I84)&lt;=0,0,MIN(I84*(1+Plan!$C$16/12),Plan!$D$16+IF(Plan!$E$16=$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IF(N(J84)&lt;=0,0,MIN(J84*(1+Plan!$C$17/12),Plan!$D$17+IF(Plan!$E$17=$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IF(N(K84)&lt;=0,0,MIN(K84*(1+Plan!$C$18/12),Plan!$D$18+IF(Plan!$E$18=$L85,Plan!$B$5+IF(AND(N(Plan!$B$9)&gt;0,N(B84)&lt;=0),Plan!$D$9,0)+IF(AND(N(Plan!$B$10)&gt;0,N(C84)&lt;=0),Plan!$D$10,0)+IF(AND(N(Plan!$B$11)&gt;0,N(D84)&lt;=0),Plan!$D$11,0)+IF(AND(N(Plan!$B$12)&gt;0,N(E84)&lt;=0),Plan!$D$12,0)+IF(AND(N(Plan!$B$13)&gt;0,N(F84)&lt;=0),Plan!$D$13,0)+IF(AND(N(Plan!$B$14)&gt;0,N(G84)&lt;=0),Plan!$D$14,0)+IF(AND(N(Plan!$B$15)&gt;0,N(H84)&lt;=0),Plan!$D$15,0)+IF(AND(N(Plan!$B$16)&gt;0,N(I84)&lt;=0),Plan!$D$16,0)+IF(AND(N(Plan!$B$17)&gt;0,N(J84)&lt;=0),Plan!$D$17,0)+IF(AND(N(Plan!$B$18)&gt;0,N(K84)&lt;=0),Plan!$D$18,0),0)))</f>
        <v/>
      </c>
    </row>
    <row r="86">
      <c r="A86" s="17" t="n">
        <v>82</v>
      </c>
      <c r="B86" s="18">
        <f>IF(N(B85)&lt;=0,0,MAX(0,B85*(1+Plan!$C$9/12)-(Plan!$D$9+IF(Plan!$E$9=$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C86" s="18">
        <f>IF(N(C85)&lt;=0,0,MAX(0,C85*(1+Plan!$C$10/12)-(Plan!$D$10+IF(Plan!$E$10=$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D86" s="18">
        <f>IF(N(D85)&lt;=0,0,MAX(0,D85*(1+Plan!$C$11/12)-(Plan!$D$11+IF(Plan!$E$11=$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E86" s="18">
        <f>IF(N(E85)&lt;=0,0,MAX(0,E85*(1+Plan!$C$12/12)-(Plan!$D$12+IF(Plan!$E$12=$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F86" s="18">
        <f>IF(N(F85)&lt;=0,0,MAX(0,F85*(1+Plan!$C$13/12)-(Plan!$D$13+IF(Plan!$E$13=$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G86" s="18">
        <f>IF(N(G85)&lt;=0,0,MAX(0,G85*(1+Plan!$C$14/12)-(Plan!$D$14+IF(Plan!$E$14=$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H86" s="18">
        <f>IF(N(H85)&lt;=0,0,MAX(0,H85*(1+Plan!$C$15/12)-(Plan!$D$15+IF(Plan!$E$15=$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I86" s="18">
        <f>IF(N(I85)&lt;=0,0,MAX(0,I85*(1+Plan!$C$16/12)-(Plan!$D$16+IF(Plan!$E$16=$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J86" s="18">
        <f>IF(N(J85)&lt;=0,0,MAX(0,J85*(1+Plan!$C$17/12)-(Plan!$D$17+IF(Plan!$E$17=$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K86" s="18">
        <f>IF(N(K85)&lt;=0,0,MAX(0,K85*(1+Plan!$C$18/12)-(Plan!$D$18+IF(Plan!$E$18=$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c r="L86" s="19">
        <f>MIN(IF(N(B85)&gt;0,Plan!$E$9,999),IF(N(C85)&gt;0,Plan!$E$10,999),IF(N(D85)&gt;0,Plan!$E$11,999),IF(N(E85)&gt;0,Plan!$E$12,999),IF(N(F85)&gt;0,Plan!$E$13,999),IF(N(G85)&gt;0,Plan!$E$14,999),IF(N(H85)&gt;0,Plan!$E$15,999),IF(N(I85)&gt;0,Plan!$E$16,999),IF(N(J85)&gt;0,Plan!$E$17,999),IF(N(K85)&gt;0,Plan!$E$18,999))</f>
        <v/>
      </c>
      <c r="M86" s="18">
        <f>IF(N(B85)&lt;=0,0,MIN(B85*(1+Plan!$C$9/12),Plan!$D$9+IF(Plan!$E$9=$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IF(N(C85)&lt;=0,0,MIN(C85*(1+Plan!$C$10/12),Plan!$D$10+IF(Plan!$E$10=$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IF(N(D85)&lt;=0,0,MIN(D85*(1+Plan!$C$11/12),Plan!$D$11+IF(Plan!$E$11=$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IF(N(E85)&lt;=0,0,MIN(E85*(1+Plan!$C$12/12),Plan!$D$12+IF(Plan!$E$12=$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IF(N(F85)&lt;=0,0,MIN(F85*(1+Plan!$C$13/12),Plan!$D$13+IF(Plan!$E$13=$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IF(N(G85)&lt;=0,0,MIN(G85*(1+Plan!$C$14/12),Plan!$D$14+IF(Plan!$E$14=$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IF(N(H85)&lt;=0,0,MIN(H85*(1+Plan!$C$15/12),Plan!$D$15+IF(Plan!$E$15=$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IF(N(I85)&lt;=0,0,MIN(I85*(1+Plan!$C$16/12),Plan!$D$16+IF(Plan!$E$16=$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IF(N(J85)&lt;=0,0,MIN(J85*(1+Plan!$C$17/12),Plan!$D$17+IF(Plan!$E$17=$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IF(N(K85)&lt;=0,0,MIN(K85*(1+Plan!$C$18/12),Plan!$D$18+IF(Plan!$E$18=$L86,Plan!$B$5+IF(AND(N(Plan!$B$9)&gt;0,N(B85)&lt;=0),Plan!$D$9,0)+IF(AND(N(Plan!$B$10)&gt;0,N(C85)&lt;=0),Plan!$D$10,0)+IF(AND(N(Plan!$B$11)&gt;0,N(D85)&lt;=0),Plan!$D$11,0)+IF(AND(N(Plan!$B$12)&gt;0,N(E85)&lt;=0),Plan!$D$12,0)+IF(AND(N(Plan!$B$13)&gt;0,N(F85)&lt;=0),Plan!$D$13,0)+IF(AND(N(Plan!$B$14)&gt;0,N(G85)&lt;=0),Plan!$D$14,0)+IF(AND(N(Plan!$B$15)&gt;0,N(H85)&lt;=0),Plan!$D$15,0)+IF(AND(N(Plan!$B$16)&gt;0,N(I85)&lt;=0),Plan!$D$16,0)+IF(AND(N(Plan!$B$17)&gt;0,N(J85)&lt;=0),Plan!$D$17,0)+IF(AND(N(Plan!$B$18)&gt;0,N(K85)&lt;=0),Plan!$D$18,0),0)))</f>
        <v/>
      </c>
    </row>
    <row r="87">
      <c r="A87" s="17" t="n">
        <v>83</v>
      </c>
      <c r="B87" s="18">
        <f>IF(N(B86)&lt;=0,0,MAX(0,B86*(1+Plan!$C$9/12)-(Plan!$D$9+IF(Plan!$E$9=$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C87" s="18">
        <f>IF(N(C86)&lt;=0,0,MAX(0,C86*(1+Plan!$C$10/12)-(Plan!$D$10+IF(Plan!$E$10=$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D87" s="18">
        <f>IF(N(D86)&lt;=0,0,MAX(0,D86*(1+Plan!$C$11/12)-(Plan!$D$11+IF(Plan!$E$11=$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E87" s="18">
        <f>IF(N(E86)&lt;=0,0,MAX(0,E86*(1+Plan!$C$12/12)-(Plan!$D$12+IF(Plan!$E$12=$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F87" s="18">
        <f>IF(N(F86)&lt;=0,0,MAX(0,F86*(1+Plan!$C$13/12)-(Plan!$D$13+IF(Plan!$E$13=$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G87" s="18">
        <f>IF(N(G86)&lt;=0,0,MAX(0,G86*(1+Plan!$C$14/12)-(Plan!$D$14+IF(Plan!$E$14=$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H87" s="18">
        <f>IF(N(H86)&lt;=0,0,MAX(0,H86*(1+Plan!$C$15/12)-(Plan!$D$15+IF(Plan!$E$15=$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I87" s="18">
        <f>IF(N(I86)&lt;=0,0,MAX(0,I86*(1+Plan!$C$16/12)-(Plan!$D$16+IF(Plan!$E$16=$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J87" s="18">
        <f>IF(N(J86)&lt;=0,0,MAX(0,J86*(1+Plan!$C$17/12)-(Plan!$D$17+IF(Plan!$E$17=$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K87" s="18">
        <f>IF(N(K86)&lt;=0,0,MAX(0,K86*(1+Plan!$C$18/12)-(Plan!$D$18+IF(Plan!$E$18=$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c r="L87" s="19">
        <f>MIN(IF(N(B86)&gt;0,Plan!$E$9,999),IF(N(C86)&gt;0,Plan!$E$10,999),IF(N(D86)&gt;0,Plan!$E$11,999),IF(N(E86)&gt;0,Plan!$E$12,999),IF(N(F86)&gt;0,Plan!$E$13,999),IF(N(G86)&gt;0,Plan!$E$14,999),IF(N(H86)&gt;0,Plan!$E$15,999),IF(N(I86)&gt;0,Plan!$E$16,999),IF(N(J86)&gt;0,Plan!$E$17,999),IF(N(K86)&gt;0,Plan!$E$18,999))</f>
        <v/>
      </c>
      <c r="M87" s="18">
        <f>IF(N(B86)&lt;=0,0,MIN(B86*(1+Plan!$C$9/12),Plan!$D$9+IF(Plan!$E$9=$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IF(N(C86)&lt;=0,0,MIN(C86*(1+Plan!$C$10/12),Plan!$D$10+IF(Plan!$E$10=$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IF(N(D86)&lt;=0,0,MIN(D86*(1+Plan!$C$11/12),Plan!$D$11+IF(Plan!$E$11=$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IF(N(E86)&lt;=0,0,MIN(E86*(1+Plan!$C$12/12),Plan!$D$12+IF(Plan!$E$12=$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IF(N(F86)&lt;=0,0,MIN(F86*(1+Plan!$C$13/12),Plan!$D$13+IF(Plan!$E$13=$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IF(N(G86)&lt;=0,0,MIN(G86*(1+Plan!$C$14/12),Plan!$D$14+IF(Plan!$E$14=$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IF(N(H86)&lt;=0,0,MIN(H86*(1+Plan!$C$15/12),Plan!$D$15+IF(Plan!$E$15=$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IF(N(I86)&lt;=0,0,MIN(I86*(1+Plan!$C$16/12),Plan!$D$16+IF(Plan!$E$16=$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IF(N(J86)&lt;=0,0,MIN(J86*(1+Plan!$C$17/12),Plan!$D$17+IF(Plan!$E$17=$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IF(N(K86)&lt;=0,0,MIN(K86*(1+Plan!$C$18/12),Plan!$D$18+IF(Plan!$E$18=$L87,Plan!$B$5+IF(AND(N(Plan!$B$9)&gt;0,N(B86)&lt;=0),Plan!$D$9,0)+IF(AND(N(Plan!$B$10)&gt;0,N(C86)&lt;=0),Plan!$D$10,0)+IF(AND(N(Plan!$B$11)&gt;0,N(D86)&lt;=0),Plan!$D$11,0)+IF(AND(N(Plan!$B$12)&gt;0,N(E86)&lt;=0),Plan!$D$12,0)+IF(AND(N(Plan!$B$13)&gt;0,N(F86)&lt;=0),Plan!$D$13,0)+IF(AND(N(Plan!$B$14)&gt;0,N(G86)&lt;=0),Plan!$D$14,0)+IF(AND(N(Plan!$B$15)&gt;0,N(H86)&lt;=0),Plan!$D$15,0)+IF(AND(N(Plan!$B$16)&gt;0,N(I86)&lt;=0),Plan!$D$16,0)+IF(AND(N(Plan!$B$17)&gt;0,N(J86)&lt;=0),Plan!$D$17,0)+IF(AND(N(Plan!$B$18)&gt;0,N(K86)&lt;=0),Plan!$D$18,0),0)))</f>
        <v/>
      </c>
    </row>
    <row r="88">
      <c r="A88" s="17" t="n">
        <v>84</v>
      </c>
      <c r="B88" s="18">
        <f>IF(N(B87)&lt;=0,0,MAX(0,B87*(1+Plan!$C$9/12)-(Plan!$D$9+IF(Plan!$E$9=$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C88" s="18">
        <f>IF(N(C87)&lt;=0,0,MAX(0,C87*(1+Plan!$C$10/12)-(Plan!$D$10+IF(Plan!$E$10=$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D88" s="18">
        <f>IF(N(D87)&lt;=0,0,MAX(0,D87*(1+Plan!$C$11/12)-(Plan!$D$11+IF(Plan!$E$11=$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E88" s="18">
        <f>IF(N(E87)&lt;=0,0,MAX(0,E87*(1+Plan!$C$12/12)-(Plan!$D$12+IF(Plan!$E$12=$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F88" s="18">
        <f>IF(N(F87)&lt;=0,0,MAX(0,F87*(1+Plan!$C$13/12)-(Plan!$D$13+IF(Plan!$E$13=$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G88" s="18">
        <f>IF(N(G87)&lt;=0,0,MAX(0,G87*(1+Plan!$C$14/12)-(Plan!$D$14+IF(Plan!$E$14=$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H88" s="18">
        <f>IF(N(H87)&lt;=0,0,MAX(0,H87*(1+Plan!$C$15/12)-(Plan!$D$15+IF(Plan!$E$15=$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I88" s="18">
        <f>IF(N(I87)&lt;=0,0,MAX(0,I87*(1+Plan!$C$16/12)-(Plan!$D$16+IF(Plan!$E$16=$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J88" s="18">
        <f>IF(N(J87)&lt;=0,0,MAX(0,J87*(1+Plan!$C$17/12)-(Plan!$D$17+IF(Plan!$E$17=$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K88" s="18">
        <f>IF(N(K87)&lt;=0,0,MAX(0,K87*(1+Plan!$C$18/12)-(Plan!$D$18+IF(Plan!$E$18=$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c r="L88" s="19">
        <f>MIN(IF(N(B87)&gt;0,Plan!$E$9,999),IF(N(C87)&gt;0,Plan!$E$10,999),IF(N(D87)&gt;0,Plan!$E$11,999),IF(N(E87)&gt;0,Plan!$E$12,999),IF(N(F87)&gt;0,Plan!$E$13,999),IF(N(G87)&gt;0,Plan!$E$14,999),IF(N(H87)&gt;0,Plan!$E$15,999),IF(N(I87)&gt;0,Plan!$E$16,999),IF(N(J87)&gt;0,Plan!$E$17,999),IF(N(K87)&gt;0,Plan!$E$18,999))</f>
        <v/>
      </c>
      <c r="M88" s="18">
        <f>IF(N(B87)&lt;=0,0,MIN(B87*(1+Plan!$C$9/12),Plan!$D$9+IF(Plan!$E$9=$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IF(N(C87)&lt;=0,0,MIN(C87*(1+Plan!$C$10/12),Plan!$D$10+IF(Plan!$E$10=$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IF(N(D87)&lt;=0,0,MIN(D87*(1+Plan!$C$11/12),Plan!$D$11+IF(Plan!$E$11=$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IF(N(E87)&lt;=0,0,MIN(E87*(1+Plan!$C$12/12),Plan!$D$12+IF(Plan!$E$12=$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IF(N(F87)&lt;=0,0,MIN(F87*(1+Plan!$C$13/12),Plan!$D$13+IF(Plan!$E$13=$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IF(N(G87)&lt;=0,0,MIN(G87*(1+Plan!$C$14/12),Plan!$D$14+IF(Plan!$E$14=$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IF(N(H87)&lt;=0,0,MIN(H87*(1+Plan!$C$15/12),Plan!$D$15+IF(Plan!$E$15=$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IF(N(I87)&lt;=0,0,MIN(I87*(1+Plan!$C$16/12),Plan!$D$16+IF(Plan!$E$16=$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IF(N(J87)&lt;=0,0,MIN(J87*(1+Plan!$C$17/12),Plan!$D$17+IF(Plan!$E$17=$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IF(N(K87)&lt;=0,0,MIN(K87*(1+Plan!$C$18/12),Plan!$D$18+IF(Plan!$E$18=$L88,Plan!$B$5+IF(AND(N(Plan!$B$9)&gt;0,N(B87)&lt;=0),Plan!$D$9,0)+IF(AND(N(Plan!$B$10)&gt;0,N(C87)&lt;=0),Plan!$D$10,0)+IF(AND(N(Plan!$B$11)&gt;0,N(D87)&lt;=0),Plan!$D$11,0)+IF(AND(N(Plan!$B$12)&gt;0,N(E87)&lt;=0),Plan!$D$12,0)+IF(AND(N(Plan!$B$13)&gt;0,N(F87)&lt;=0),Plan!$D$13,0)+IF(AND(N(Plan!$B$14)&gt;0,N(G87)&lt;=0),Plan!$D$14,0)+IF(AND(N(Plan!$B$15)&gt;0,N(H87)&lt;=0),Plan!$D$15,0)+IF(AND(N(Plan!$B$16)&gt;0,N(I87)&lt;=0),Plan!$D$16,0)+IF(AND(N(Plan!$B$17)&gt;0,N(J87)&lt;=0),Plan!$D$17,0)+IF(AND(N(Plan!$B$18)&gt;0,N(K87)&lt;=0),Plan!$D$18,0),0)))</f>
        <v/>
      </c>
    </row>
    <row r="89">
      <c r="A89" s="17" t="n">
        <v>85</v>
      </c>
      <c r="B89" s="18">
        <f>IF(N(B88)&lt;=0,0,MAX(0,B88*(1+Plan!$C$9/12)-(Plan!$D$9+IF(Plan!$E$9=$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C89" s="18">
        <f>IF(N(C88)&lt;=0,0,MAX(0,C88*(1+Plan!$C$10/12)-(Plan!$D$10+IF(Plan!$E$10=$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D89" s="18">
        <f>IF(N(D88)&lt;=0,0,MAX(0,D88*(1+Plan!$C$11/12)-(Plan!$D$11+IF(Plan!$E$11=$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E89" s="18">
        <f>IF(N(E88)&lt;=0,0,MAX(0,E88*(1+Plan!$C$12/12)-(Plan!$D$12+IF(Plan!$E$12=$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F89" s="18">
        <f>IF(N(F88)&lt;=0,0,MAX(0,F88*(1+Plan!$C$13/12)-(Plan!$D$13+IF(Plan!$E$13=$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G89" s="18">
        <f>IF(N(G88)&lt;=0,0,MAX(0,G88*(1+Plan!$C$14/12)-(Plan!$D$14+IF(Plan!$E$14=$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H89" s="18">
        <f>IF(N(H88)&lt;=0,0,MAX(0,H88*(1+Plan!$C$15/12)-(Plan!$D$15+IF(Plan!$E$15=$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I89" s="18">
        <f>IF(N(I88)&lt;=0,0,MAX(0,I88*(1+Plan!$C$16/12)-(Plan!$D$16+IF(Plan!$E$16=$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J89" s="18">
        <f>IF(N(J88)&lt;=0,0,MAX(0,J88*(1+Plan!$C$17/12)-(Plan!$D$17+IF(Plan!$E$17=$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K89" s="18">
        <f>IF(N(K88)&lt;=0,0,MAX(0,K88*(1+Plan!$C$18/12)-(Plan!$D$18+IF(Plan!$E$18=$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c r="L89" s="19">
        <f>MIN(IF(N(B88)&gt;0,Plan!$E$9,999),IF(N(C88)&gt;0,Plan!$E$10,999),IF(N(D88)&gt;0,Plan!$E$11,999),IF(N(E88)&gt;0,Plan!$E$12,999),IF(N(F88)&gt;0,Plan!$E$13,999),IF(N(G88)&gt;0,Plan!$E$14,999),IF(N(H88)&gt;0,Plan!$E$15,999),IF(N(I88)&gt;0,Plan!$E$16,999),IF(N(J88)&gt;0,Plan!$E$17,999),IF(N(K88)&gt;0,Plan!$E$18,999))</f>
        <v/>
      </c>
      <c r="M89" s="18">
        <f>IF(N(B88)&lt;=0,0,MIN(B88*(1+Plan!$C$9/12),Plan!$D$9+IF(Plan!$E$9=$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IF(N(C88)&lt;=0,0,MIN(C88*(1+Plan!$C$10/12),Plan!$D$10+IF(Plan!$E$10=$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IF(N(D88)&lt;=0,0,MIN(D88*(1+Plan!$C$11/12),Plan!$D$11+IF(Plan!$E$11=$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IF(N(E88)&lt;=0,0,MIN(E88*(1+Plan!$C$12/12),Plan!$D$12+IF(Plan!$E$12=$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IF(N(F88)&lt;=0,0,MIN(F88*(1+Plan!$C$13/12),Plan!$D$13+IF(Plan!$E$13=$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IF(N(G88)&lt;=0,0,MIN(G88*(1+Plan!$C$14/12),Plan!$D$14+IF(Plan!$E$14=$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IF(N(H88)&lt;=0,0,MIN(H88*(1+Plan!$C$15/12),Plan!$D$15+IF(Plan!$E$15=$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IF(N(I88)&lt;=0,0,MIN(I88*(1+Plan!$C$16/12),Plan!$D$16+IF(Plan!$E$16=$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IF(N(J88)&lt;=0,0,MIN(J88*(1+Plan!$C$17/12),Plan!$D$17+IF(Plan!$E$17=$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IF(N(K88)&lt;=0,0,MIN(K88*(1+Plan!$C$18/12),Plan!$D$18+IF(Plan!$E$18=$L89,Plan!$B$5+IF(AND(N(Plan!$B$9)&gt;0,N(B88)&lt;=0),Plan!$D$9,0)+IF(AND(N(Plan!$B$10)&gt;0,N(C88)&lt;=0),Plan!$D$10,0)+IF(AND(N(Plan!$B$11)&gt;0,N(D88)&lt;=0),Plan!$D$11,0)+IF(AND(N(Plan!$B$12)&gt;0,N(E88)&lt;=0),Plan!$D$12,0)+IF(AND(N(Plan!$B$13)&gt;0,N(F88)&lt;=0),Plan!$D$13,0)+IF(AND(N(Plan!$B$14)&gt;0,N(G88)&lt;=0),Plan!$D$14,0)+IF(AND(N(Plan!$B$15)&gt;0,N(H88)&lt;=0),Plan!$D$15,0)+IF(AND(N(Plan!$B$16)&gt;0,N(I88)&lt;=0),Plan!$D$16,0)+IF(AND(N(Plan!$B$17)&gt;0,N(J88)&lt;=0),Plan!$D$17,0)+IF(AND(N(Plan!$B$18)&gt;0,N(K88)&lt;=0),Plan!$D$18,0),0)))</f>
        <v/>
      </c>
    </row>
    <row r="90">
      <c r="A90" s="17" t="n">
        <v>86</v>
      </c>
      <c r="B90" s="18">
        <f>IF(N(B89)&lt;=0,0,MAX(0,B89*(1+Plan!$C$9/12)-(Plan!$D$9+IF(Plan!$E$9=$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C90" s="18">
        <f>IF(N(C89)&lt;=0,0,MAX(0,C89*(1+Plan!$C$10/12)-(Plan!$D$10+IF(Plan!$E$10=$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D90" s="18">
        <f>IF(N(D89)&lt;=0,0,MAX(0,D89*(1+Plan!$C$11/12)-(Plan!$D$11+IF(Plan!$E$11=$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E90" s="18">
        <f>IF(N(E89)&lt;=0,0,MAX(0,E89*(1+Plan!$C$12/12)-(Plan!$D$12+IF(Plan!$E$12=$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F90" s="18">
        <f>IF(N(F89)&lt;=0,0,MAX(0,F89*(1+Plan!$C$13/12)-(Plan!$D$13+IF(Plan!$E$13=$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G90" s="18">
        <f>IF(N(G89)&lt;=0,0,MAX(0,G89*(1+Plan!$C$14/12)-(Plan!$D$14+IF(Plan!$E$14=$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H90" s="18">
        <f>IF(N(H89)&lt;=0,0,MAX(0,H89*(1+Plan!$C$15/12)-(Plan!$D$15+IF(Plan!$E$15=$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I90" s="18">
        <f>IF(N(I89)&lt;=0,0,MAX(0,I89*(1+Plan!$C$16/12)-(Plan!$D$16+IF(Plan!$E$16=$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J90" s="18">
        <f>IF(N(J89)&lt;=0,0,MAX(0,J89*(1+Plan!$C$17/12)-(Plan!$D$17+IF(Plan!$E$17=$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K90" s="18">
        <f>IF(N(K89)&lt;=0,0,MAX(0,K89*(1+Plan!$C$18/12)-(Plan!$D$18+IF(Plan!$E$18=$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c r="L90" s="19">
        <f>MIN(IF(N(B89)&gt;0,Plan!$E$9,999),IF(N(C89)&gt;0,Plan!$E$10,999),IF(N(D89)&gt;0,Plan!$E$11,999),IF(N(E89)&gt;0,Plan!$E$12,999),IF(N(F89)&gt;0,Plan!$E$13,999),IF(N(G89)&gt;0,Plan!$E$14,999),IF(N(H89)&gt;0,Plan!$E$15,999),IF(N(I89)&gt;0,Plan!$E$16,999),IF(N(J89)&gt;0,Plan!$E$17,999),IF(N(K89)&gt;0,Plan!$E$18,999))</f>
        <v/>
      </c>
      <c r="M90" s="18">
        <f>IF(N(B89)&lt;=0,0,MIN(B89*(1+Plan!$C$9/12),Plan!$D$9+IF(Plan!$E$9=$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IF(N(C89)&lt;=0,0,MIN(C89*(1+Plan!$C$10/12),Plan!$D$10+IF(Plan!$E$10=$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IF(N(D89)&lt;=0,0,MIN(D89*(1+Plan!$C$11/12),Plan!$D$11+IF(Plan!$E$11=$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IF(N(E89)&lt;=0,0,MIN(E89*(1+Plan!$C$12/12),Plan!$D$12+IF(Plan!$E$12=$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IF(N(F89)&lt;=0,0,MIN(F89*(1+Plan!$C$13/12),Plan!$D$13+IF(Plan!$E$13=$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IF(N(G89)&lt;=0,0,MIN(G89*(1+Plan!$C$14/12),Plan!$D$14+IF(Plan!$E$14=$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IF(N(H89)&lt;=0,0,MIN(H89*(1+Plan!$C$15/12),Plan!$D$15+IF(Plan!$E$15=$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IF(N(I89)&lt;=0,0,MIN(I89*(1+Plan!$C$16/12),Plan!$D$16+IF(Plan!$E$16=$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IF(N(J89)&lt;=0,0,MIN(J89*(1+Plan!$C$17/12),Plan!$D$17+IF(Plan!$E$17=$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IF(N(K89)&lt;=0,0,MIN(K89*(1+Plan!$C$18/12),Plan!$D$18+IF(Plan!$E$18=$L90,Plan!$B$5+IF(AND(N(Plan!$B$9)&gt;0,N(B89)&lt;=0),Plan!$D$9,0)+IF(AND(N(Plan!$B$10)&gt;0,N(C89)&lt;=0),Plan!$D$10,0)+IF(AND(N(Plan!$B$11)&gt;0,N(D89)&lt;=0),Plan!$D$11,0)+IF(AND(N(Plan!$B$12)&gt;0,N(E89)&lt;=0),Plan!$D$12,0)+IF(AND(N(Plan!$B$13)&gt;0,N(F89)&lt;=0),Plan!$D$13,0)+IF(AND(N(Plan!$B$14)&gt;0,N(G89)&lt;=0),Plan!$D$14,0)+IF(AND(N(Plan!$B$15)&gt;0,N(H89)&lt;=0),Plan!$D$15,0)+IF(AND(N(Plan!$B$16)&gt;0,N(I89)&lt;=0),Plan!$D$16,0)+IF(AND(N(Plan!$B$17)&gt;0,N(J89)&lt;=0),Plan!$D$17,0)+IF(AND(N(Plan!$B$18)&gt;0,N(K89)&lt;=0),Plan!$D$18,0),0)))</f>
        <v/>
      </c>
    </row>
    <row r="91">
      <c r="A91" s="17" t="n">
        <v>87</v>
      </c>
      <c r="B91" s="18">
        <f>IF(N(B90)&lt;=0,0,MAX(0,B90*(1+Plan!$C$9/12)-(Plan!$D$9+IF(Plan!$E$9=$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C91" s="18">
        <f>IF(N(C90)&lt;=0,0,MAX(0,C90*(1+Plan!$C$10/12)-(Plan!$D$10+IF(Plan!$E$10=$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D91" s="18">
        <f>IF(N(D90)&lt;=0,0,MAX(0,D90*(1+Plan!$C$11/12)-(Plan!$D$11+IF(Plan!$E$11=$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E91" s="18">
        <f>IF(N(E90)&lt;=0,0,MAX(0,E90*(1+Plan!$C$12/12)-(Plan!$D$12+IF(Plan!$E$12=$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F91" s="18">
        <f>IF(N(F90)&lt;=0,0,MAX(0,F90*(1+Plan!$C$13/12)-(Plan!$D$13+IF(Plan!$E$13=$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G91" s="18">
        <f>IF(N(G90)&lt;=0,0,MAX(0,G90*(1+Plan!$C$14/12)-(Plan!$D$14+IF(Plan!$E$14=$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H91" s="18">
        <f>IF(N(H90)&lt;=0,0,MAX(0,H90*(1+Plan!$C$15/12)-(Plan!$D$15+IF(Plan!$E$15=$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I91" s="18">
        <f>IF(N(I90)&lt;=0,0,MAX(0,I90*(1+Plan!$C$16/12)-(Plan!$D$16+IF(Plan!$E$16=$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J91" s="18">
        <f>IF(N(J90)&lt;=0,0,MAX(0,J90*(1+Plan!$C$17/12)-(Plan!$D$17+IF(Plan!$E$17=$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K91" s="18">
        <f>IF(N(K90)&lt;=0,0,MAX(0,K90*(1+Plan!$C$18/12)-(Plan!$D$18+IF(Plan!$E$18=$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c r="L91" s="19">
        <f>MIN(IF(N(B90)&gt;0,Plan!$E$9,999),IF(N(C90)&gt;0,Plan!$E$10,999),IF(N(D90)&gt;0,Plan!$E$11,999),IF(N(E90)&gt;0,Plan!$E$12,999),IF(N(F90)&gt;0,Plan!$E$13,999),IF(N(G90)&gt;0,Plan!$E$14,999),IF(N(H90)&gt;0,Plan!$E$15,999),IF(N(I90)&gt;0,Plan!$E$16,999),IF(N(J90)&gt;0,Plan!$E$17,999),IF(N(K90)&gt;0,Plan!$E$18,999))</f>
        <v/>
      </c>
      <c r="M91" s="18">
        <f>IF(N(B90)&lt;=0,0,MIN(B90*(1+Plan!$C$9/12),Plan!$D$9+IF(Plan!$E$9=$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IF(N(C90)&lt;=0,0,MIN(C90*(1+Plan!$C$10/12),Plan!$D$10+IF(Plan!$E$10=$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IF(N(D90)&lt;=0,0,MIN(D90*(1+Plan!$C$11/12),Plan!$D$11+IF(Plan!$E$11=$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IF(N(E90)&lt;=0,0,MIN(E90*(1+Plan!$C$12/12),Plan!$D$12+IF(Plan!$E$12=$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IF(N(F90)&lt;=0,0,MIN(F90*(1+Plan!$C$13/12),Plan!$D$13+IF(Plan!$E$13=$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IF(N(G90)&lt;=0,0,MIN(G90*(1+Plan!$C$14/12),Plan!$D$14+IF(Plan!$E$14=$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IF(N(H90)&lt;=0,0,MIN(H90*(1+Plan!$C$15/12),Plan!$D$15+IF(Plan!$E$15=$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IF(N(I90)&lt;=0,0,MIN(I90*(1+Plan!$C$16/12),Plan!$D$16+IF(Plan!$E$16=$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IF(N(J90)&lt;=0,0,MIN(J90*(1+Plan!$C$17/12),Plan!$D$17+IF(Plan!$E$17=$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IF(N(K90)&lt;=0,0,MIN(K90*(1+Plan!$C$18/12),Plan!$D$18+IF(Plan!$E$18=$L91,Plan!$B$5+IF(AND(N(Plan!$B$9)&gt;0,N(B90)&lt;=0),Plan!$D$9,0)+IF(AND(N(Plan!$B$10)&gt;0,N(C90)&lt;=0),Plan!$D$10,0)+IF(AND(N(Plan!$B$11)&gt;0,N(D90)&lt;=0),Plan!$D$11,0)+IF(AND(N(Plan!$B$12)&gt;0,N(E90)&lt;=0),Plan!$D$12,0)+IF(AND(N(Plan!$B$13)&gt;0,N(F90)&lt;=0),Plan!$D$13,0)+IF(AND(N(Plan!$B$14)&gt;0,N(G90)&lt;=0),Plan!$D$14,0)+IF(AND(N(Plan!$B$15)&gt;0,N(H90)&lt;=0),Plan!$D$15,0)+IF(AND(N(Plan!$B$16)&gt;0,N(I90)&lt;=0),Plan!$D$16,0)+IF(AND(N(Plan!$B$17)&gt;0,N(J90)&lt;=0),Plan!$D$17,0)+IF(AND(N(Plan!$B$18)&gt;0,N(K90)&lt;=0),Plan!$D$18,0),0)))</f>
        <v/>
      </c>
    </row>
    <row r="92">
      <c r="A92" s="17" t="n">
        <v>88</v>
      </c>
      <c r="B92" s="18">
        <f>IF(N(B91)&lt;=0,0,MAX(0,B91*(1+Plan!$C$9/12)-(Plan!$D$9+IF(Plan!$E$9=$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C92" s="18">
        <f>IF(N(C91)&lt;=0,0,MAX(0,C91*(1+Plan!$C$10/12)-(Plan!$D$10+IF(Plan!$E$10=$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D92" s="18">
        <f>IF(N(D91)&lt;=0,0,MAX(0,D91*(1+Plan!$C$11/12)-(Plan!$D$11+IF(Plan!$E$11=$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E92" s="18">
        <f>IF(N(E91)&lt;=0,0,MAX(0,E91*(1+Plan!$C$12/12)-(Plan!$D$12+IF(Plan!$E$12=$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F92" s="18">
        <f>IF(N(F91)&lt;=0,0,MAX(0,F91*(1+Plan!$C$13/12)-(Plan!$D$13+IF(Plan!$E$13=$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G92" s="18">
        <f>IF(N(G91)&lt;=0,0,MAX(0,G91*(1+Plan!$C$14/12)-(Plan!$D$14+IF(Plan!$E$14=$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H92" s="18">
        <f>IF(N(H91)&lt;=0,0,MAX(0,H91*(1+Plan!$C$15/12)-(Plan!$D$15+IF(Plan!$E$15=$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I92" s="18">
        <f>IF(N(I91)&lt;=0,0,MAX(0,I91*(1+Plan!$C$16/12)-(Plan!$D$16+IF(Plan!$E$16=$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J92" s="18">
        <f>IF(N(J91)&lt;=0,0,MAX(0,J91*(1+Plan!$C$17/12)-(Plan!$D$17+IF(Plan!$E$17=$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K92" s="18">
        <f>IF(N(K91)&lt;=0,0,MAX(0,K91*(1+Plan!$C$18/12)-(Plan!$D$18+IF(Plan!$E$18=$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c r="L92" s="19">
        <f>MIN(IF(N(B91)&gt;0,Plan!$E$9,999),IF(N(C91)&gt;0,Plan!$E$10,999),IF(N(D91)&gt;0,Plan!$E$11,999),IF(N(E91)&gt;0,Plan!$E$12,999),IF(N(F91)&gt;0,Plan!$E$13,999),IF(N(G91)&gt;0,Plan!$E$14,999),IF(N(H91)&gt;0,Plan!$E$15,999),IF(N(I91)&gt;0,Plan!$E$16,999),IF(N(J91)&gt;0,Plan!$E$17,999),IF(N(K91)&gt;0,Plan!$E$18,999))</f>
        <v/>
      </c>
      <c r="M92" s="18">
        <f>IF(N(B91)&lt;=0,0,MIN(B91*(1+Plan!$C$9/12),Plan!$D$9+IF(Plan!$E$9=$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IF(N(C91)&lt;=0,0,MIN(C91*(1+Plan!$C$10/12),Plan!$D$10+IF(Plan!$E$10=$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IF(N(D91)&lt;=0,0,MIN(D91*(1+Plan!$C$11/12),Plan!$D$11+IF(Plan!$E$11=$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IF(N(E91)&lt;=0,0,MIN(E91*(1+Plan!$C$12/12),Plan!$D$12+IF(Plan!$E$12=$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IF(N(F91)&lt;=0,0,MIN(F91*(1+Plan!$C$13/12),Plan!$D$13+IF(Plan!$E$13=$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IF(N(G91)&lt;=0,0,MIN(G91*(1+Plan!$C$14/12),Plan!$D$14+IF(Plan!$E$14=$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IF(N(H91)&lt;=0,0,MIN(H91*(1+Plan!$C$15/12),Plan!$D$15+IF(Plan!$E$15=$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IF(N(I91)&lt;=0,0,MIN(I91*(1+Plan!$C$16/12),Plan!$D$16+IF(Plan!$E$16=$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IF(N(J91)&lt;=0,0,MIN(J91*(1+Plan!$C$17/12),Plan!$D$17+IF(Plan!$E$17=$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IF(N(K91)&lt;=0,0,MIN(K91*(1+Plan!$C$18/12),Plan!$D$18+IF(Plan!$E$18=$L92,Plan!$B$5+IF(AND(N(Plan!$B$9)&gt;0,N(B91)&lt;=0),Plan!$D$9,0)+IF(AND(N(Plan!$B$10)&gt;0,N(C91)&lt;=0),Plan!$D$10,0)+IF(AND(N(Plan!$B$11)&gt;0,N(D91)&lt;=0),Plan!$D$11,0)+IF(AND(N(Plan!$B$12)&gt;0,N(E91)&lt;=0),Plan!$D$12,0)+IF(AND(N(Plan!$B$13)&gt;0,N(F91)&lt;=0),Plan!$D$13,0)+IF(AND(N(Plan!$B$14)&gt;0,N(G91)&lt;=0),Plan!$D$14,0)+IF(AND(N(Plan!$B$15)&gt;0,N(H91)&lt;=0),Plan!$D$15,0)+IF(AND(N(Plan!$B$16)&gt;0,N(I91)&lt;=0),Plan!$D$16,0)+IF(AND(N(Plan!$B$17)&gt;0,N(J91)&lt;=0),Plan!$D$17,0)+IF(AND(N(Plan!$B$18)&gt;0,N(K91)&lt;=0),Plan!$D$18,0),0)))</f>
        <v/>
      </c>
    </row>
    <row r="93">
      <c r="A93" s="17" t="n">
        <v>89</v>
      </c>
      <c r="B93" s="18">
        <f>IF(N(B92)&lt;=0,0,MAX(0,B92*(1+Plan!$C$9/12)-(Plan!$D$9+IF(Plan!$E$9=$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C93" s="18">
        <f>IF(N(C92)&lt;=0,0,MAX(0,C92*(1+Plan!$C$10/12)-(Plan!$D$10+IF(Plan!$E$10=$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D93" s="18">
        <f>IF(N(D92)&lt;=0,0,MAX(0,D92*(1+Plan!$C$11/12)-(Plan!$D$11+IF(Plan!$E$11=$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E93" s="18">
        <f>IF(N(E92)&lt;=0,0,MAX(0,E92*(1+Plan!$C$12/12)-(Plan!$D$12+IF(Plan!$E$12=$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F93" s="18">
        <f>IF(N(F92)&lt;=0,0,MAX(0,F92*(1+Plan!$C$13/12)-(Plan!$D$13+IF(Plan!$E$13=$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G93" s="18">
        <f>IF(N(G92)&lt;=0,0,MAX(0,G92*(1+Plan!$C$14/12)-(Plan!$D$14+IF(Plan!$E$14=$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H93" s="18">
        <f>IF(N(H92)&lt;=0,0,MAX(0,H92*(1+Plan!$C$15/12)-(Plan!$D$15+IF(Plan!$E$15=$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I93" s="18">
        <f>IF(N(I92)&lt;=0,0,MAX(0,I92*(1+Plan!$C$16/12)-(Plan!$D$16+IF(Plan!$E$16=$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J93" s="18">
        <f>IF(N(J92)&lt;=0,0,MAX(0,J92*(1+Plan!$C$17/12)-(Plan!$D$17+IF(Plan!$E$17=$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K93" s="18">
        <f>IF(N(K92)&lt;=0,0,MAX(0,K92*(1+Plan!$C$18/12)-(Plan!$D$18+IF(Plan!$E$18=$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c r="L93" s="19">
        <f>MIN(IF(N(B92)&gt;0,Plan!$E$9,999),IF(N(C92)&gt;0,Plan!$E$10,999),IF(N(D92)&gt;0,Plan!$E$11,999),IF(N(E92)&gt;0,Plan!$E$12,999),IF(N(F92)&gt;0,Plan!$E$13,999),IF(N(G92)&gt;0,Plan!$E$14,999),IF(N(H92)&gt;0,Plan!$E$15,999),IF(N(I92)&gt;0,Plan!$E$16,999),IF(N(J92)&gt;0,Plan!$E$17,999),IF(N(K92)&gt;0,Plan!$E$18,999))</f>
        <v/>
      </c>
      <c r="M93" s="18">
        <f>IF(N(B92)&lt;=0,0,MIN(B92*(1+Plan!$C$9/12),Plan!$D$9+IF(Plan!$E$9=$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IF(N(C92)&lt;=0,0,MIN(C92*(1+Plan!$C$10/12),Plan!$D$10+IF(Plan!$E$10=$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IF(N(D92)&lt;=0,0,MIN(D92*(1+Plan!$C$11/12),Plan!$D$11+IF(Plan!$E$11=$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IF(N(E92)&lt;=0,0,MIN(E92*(1+Plan!$C$12/12),Plan!$D$12+IF(Plan!$E$12=$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IF(N(F92)&lt;=0,0,MIN(F92*(1+Plan!$C$13/12),Plan!$D$13+IF(Plan!$E$13=$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IF(N(G92)&lt;=0,0,MIN(G92*(1+Plan!$C$14/12),Plan!$D$14+IF(Plan!$E$14=$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IF(N(H92)&lt;=0,0,MIN(H92*(1+Plan!$C$15/12),Plan!$D$15+IF(Plan!$E$15=$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IF(N(I92)&lt;=0,0,MIN(I92*(1+Plan!$C$16/12),Plan!$D$16+IF(Plan!$E$16=$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IF(N(J92)&lt;=0,0,MIN(J92*(1+Plan!$C$17/12),Plan!$D$17+IF(Plan!$E$17=$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IF(N(K92)&lt;=0,0,MIN(K92*(1+Plan!$C$18/12),Plan!$D$18+IF(Plan!$E$18=$L93,Plan!$B$5+IF(AND(N(Plan!$B$9)&gt;0,N(B92)&lt;=0),Plan!$D$9,0)+IF(AND(N(Plan!$B$10)&gt;0,N(C92)&lt;=0),Plan!$D$10,0)+IF(AND(N(Plan!$B$11)&gt;0,N(D92)&lt;=0),Plan!$D$11,0)+IF(AND(N(Plan!$B$12)&gt;0,N(E92)&lt;=0),Plan!$D$12,0)+IF(AND(N(Plan!$B$13)&gt;0,N(F92)&lt;=0),Plan!$D$13,0)+IF(AND(N(Plan!$B$14)&gt;0,N(G92)&lt;=0),Plan!$D$14,0)+IF(AND(N(Plan!$B$15)&gt;0,N(H92)&lt;=0),Plan!$D$15,0)+IF(AND(N(Plan!$B$16)&gt;0,N(I92)&lt;=0),Plan!$D$16,0)+IF(AND(N(Plan!$B$17)&gt;0,N(J92)&lt;=0),Plan!$D$17,0)+IF(AND(N(Plan!$B$18)&gt;0,N(K92)&lt;=0),Plan!$D$18,0),0)))</f>
        <v/>
      </c>
    </row>
    <row r="94">
      <c r="A94" s="17" t="n">
        <v>90</v>
      </c>
      <c r="B94" s="18">
        <f>IF(N(B93)&lt;=0,0,MAX(0,B93*(1+Plan!$C$9/12)-(Plan!$D$9+IF(Plan!$E$9=$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C94" s="18">
        <f>IF(N(C93)&lt;=0,0,MAX(0,C93*(1+Plan!$C$10/12)-(Plan!$D$10+IF(Plan!$E$10=$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D94" s="18">
        <f>IF(N(D93)&lt;=0,0,MAX(0,D93*(1+Plan!$C$11/12)-(Plan!$D$11+IF(Plan!$E$11=$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E94" s="18">
        <f>IF(N(E93)&lt;=0,0,MAX(0,E93*(1+Plan!$C$12/12)-(Plan!$D$12+IF(Plan!$E$12=$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F94" s="18">
        <f>IF(N(F93)&lt;=0,0,MAX(0,F93*(1+Plan!$C$13/12)-(Plan!$D$13+IF(Plan!$E$13=$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G94" s="18">
        <f>IF(N(G93)&lt;=0,0,MAX(0,G93*(1+Plan!$C$14/12)-(Plan!$D$14+IF(Plan!$E$14=$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H94" s="18">
        <f>IF(N(H93)&lt;=0,0,MAX(0,H93*(1+Plan!$C$15/12)-(Plan!$D$15+IF(Plan!$E$15=$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I94" s="18">
        <f>IF(N(I93)&lt;=0,0,MAX(0,I93*(1+Plan!$C$16/12)-(Plan!$D$16+IF(Plan!$E$16=$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J94" s="18">
        <f>IF(N(J93)&lt;=0,0,MAX(0,J93*(1+Plan!$C$17/12)-(Plan!$D$17+IF(Plan!$E$17=$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K94" s="18">
        <f>IF(N(K93)&lt;=0,0,MAX(0,K93*(1+Plan!$C$18/12)-(Plan!$D$18+IF(Plan!$E$18=$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c r="L94" s="19">
        <f>MIN(IF(N(B93)&gt;0,Plan!$E$9,999),IF(N(C93)&gt;0,Plan!$E$10,999),IF(N(D93)&gt;0,Plan!$E$11,999),IF(N(E93)&gt;0,Plan!$E$12,999),IF(N(F93)&gt;0,Plan!$E$13,999),IF(N(G93)&gt;0,Plan!$E$14,999),IF(N(H93)&gt;0,Plan!$E$15,999),IF(N(I93)&gt;0,Plan!$E$16,999),IF(N(J93)&gt;0,Plan!$E$17,999),IF(N(K93)&gt;0,Plan!$E$18,999))</f>
        <v/>
      </c>
      <c r="M94" s="18">
        <f>IF(N(B93)&lt;=0,0,MIN(B93*(1+Plan!$C$9/12),Plan!$D$9+IF(Plan!$E$9=$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IF(N(C93)&lt;=0,0,MIN(C93*(1+Plan!$C$10/12),Plan!$D$10+IF(Plan!$E$10=$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IF(N(D93)&lt;=0,0,MIN(D93*(1+Plan!$C$11/12),Plan!$D$11+IF(Plan!$E$11=$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IF(N(E93)&lt;=0,0,MIN(E93*(1+Plan!$C$12/12),Plan!$D$12+IF(Plan!$E$12=$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IF(N(F93)&lt;=0,0,MIN(F93*(1+Plan!$C$13/12),Plan!$D$13+IF(Plan!$E$13=$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IF(N(G93)&lt;=0,0,MIN(G93*(1+Plan!$C$14/12),Plan!$D$14+IF(Plan!$E$14=$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IF(N(H93)&lt;=0,0,MIN(H93*(1+Plan!$C$15/12),Plan!$D$15+IF(Plan!$E$15=$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IF(N(I93)&lt;=0,0,MIN(I93*(1+Plan!$C$16/12),Plan!$D$16+IF(Plan!$E$16=$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IF(N(J93)&lt;=0,0,MIN(J93*(1+Plan!$C$17/12),Plan!$D$17+IF(Plan!$E$17=$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IF(N(K93)&lt;=0,0,MIN(K93*(1+Plan!$C$18/12),Plan!$D$18+IF(Plan!$E$18=$L94,Plan!$B$5+IF(AND(N(Plan!$B$9)&gt;0,N(B93)&lt;=0),Plan!$D$9,0)+IF(AND(N(Plan!$B$10)&gt;0,N(C93)&lt;=0),Plan!$D$10,0)+IF(AND(N(Plan!$B$11)&gt;0,N(D93)&lt;=0),Plan!$D$11,0)+IF(AND(N(Plan!$B$12)&gt;0,N(E93)&lt;=0),Plan!$D$12,0)+IF(AND(N(Plan!$B$13)&gt;0,N(F93)&lt;=0),Plan!$D$13,0)+IF(AND(N(Plan!$B$14)&gt;0,N(G93)&lt;=0),Plan!$D$14,0)+IF(AND(N(Plan!$B$15)&gt;0,N(H93)&lt;=0),Plan!$D$15,0)+IF(AND(N(Plan!$B$16)&gt;0,N(I93)&lt;=0),Plan!$D$16,0)+IF(AND(N(Plan!$B$17)&gt;0,N(J93)&lt;=0),Plan!$D$17,0)+IF(AND(N(Plan!$B$18)&gt;0,N(K93)&lt;=0),Plan!$D$18,0),0)))</f>
        <v/>
      </c>
    </row>
    <row r="95">
      <c r="A95" s="17" t="n">
        <v>91</v>
      </c>
      <c r="B95" s="18">
        <f>IF(N(B94)&lt;=0,0,MAX(0,B94*(1+Plan!$C$9/12)-(Plan!$D$9+IF(Plan!$E$9=$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C95" s="18">
        <f>IF(N(C94)&lt;=0,0,MAX(0,C94*(1+Plan!$C$10/12)-(Plan!$D$10+IF(Plan!$E$10=$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D95" s="18">
        <f>IF(N(D94)&lt;=0,0,MAX(0,D94*(1+Plan!$C$11/12)-(Plan!$D$11+IF(Plan!$E$11=$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E95" s="18">
        <f>IF(N(E94)&lt;=0,0,MAX(0,E94*(1+Plan!$C$12/12)-(Plan!$D$12+IF(Plan!$E$12=$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F95" s="18">
        <f>IF(N(F94)&lt;=0,0,MAX(0,F94*(1+Plan!$C$13/12)-(Plan!$D$13+IF(Plan!$E$13=$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G95" s="18">
        <f>IF(N(G94)&lt;=0,0,MAX(0,G94*(1+Plan!$C$14/12)-(Plan!$D$14+IF(Plan!$E$14=$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H95" s="18">
        <f>IF(N(H94)&lt;=0,0,MAX(0,H94*(1+Plan!$C$15/12)-(Plan!$D$15+IF(Plan!$E$15=$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I95" s="18">
        <f>IF(N(I94)&lt;=0,0,MAX(0,I94*(1+Plan!$C$16/12)-(Plan!$D$16+IF(Plan!$E$16=$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J95" s="18">
        <f>IF(N(J94)&lt;=0,0,MAX(0,J94*(1+Plan!$C$17/12)-(Plan!$D$17+IF(Plan!$E$17=$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K95" s="18">
        <f>IF(N(K94)&lt;=0,0,MAX(0,K94*(1+Plan!$C$18/12)-(Plan!$D$18+IF(Plan!$E$18=$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c r="L95" s="19">
        <f>MIN(IF(N(B94)&gt;0,Plan!$E$9,999),IF(N(C94)&gt;0,Plan!$E$10,999),IF(N(D94)&gt;0,Plan!$E$11,999),IF(N(E94)&gt;0,Plan!$E$12,999),IF(N(F94)&gt;0,Plan!$E$13,999),IF(N(G94)&gt;0,Plan!$E$14,999),IF(N(H94)&gt;0,Plan!$E$15,999),IF(N(I94)&gt;0,Plan!$E$16,999),IF(N(J94)&gt;0,Plan!$E$17,999),IF(N(K94)&gt;0,Plan!$E$18,999))</f>
        <v/>
      </c>
      <c r="M95" s="18">
        <f>IF(N(B94)&lt;=0,0,MIN(B94*(1+Plan!$C$9/12),Plan!$D$9+IF(Plan!$E$9=$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IF(N(C94)&lt;=0,0,MIN(C94*(1+Plan!$C$10/12),Plan!$D$10+IF(Plan!$E$10=$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IF(N(D94)&lt;=0,0,MIN(D94*(1+Plan!$C$11/12),Plan!$D$11+IF(Plan!$E$11=$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IF(N(E94)&lt;=0,0,MIN(E94*(1+Plan!$C$12/12),Plan!$D$12+IF(Plan!$E$12=$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IF(N(F94)&lt;=0,0,MIN(F94*(1+Plan!$C$13/12),Plan!$D$13+IF(Plan!$E$13=$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IF(N(G94)&lt;=0,0,MIN(G94*(1+Plan!$C$14/12),Plan!$D$14+IF(Plan!$E$14=$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IF(N(H94)&lt;=0,0,MIN(H94*(1+Plan!$C$15/12),Plan!$D$15+IF(Plan!$E$15=$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IF(N(I94)&lt;=0,0,MIN(I94*(1+Plan!$C$16/12),Plan!$D$16+IF(Plan!$E$16=$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IF(N(J94)&lt;=0,0,MIN(J94*(1+Plan!$C$17/12),Plan!$D$17+IF(Plan!$E$17=$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IF(N(K94)&lt;=0,0,MIN(K94*(1+Plan!$C$18/12),Plan!$D$18+IF(Plan!$E$18=$L95,Plan!$B$5+IF(AND(N(Plan!$B$9)&gt;0,N(B94)&lt;=0),Plan!$D$9,0)+IF(AND(N(Plan!$B$10)&gt;0,N(C94)&lt;=0),Plan!$D$10,0)+IF(AND(N(Plan!$B$11)&gt;0,N(D94)&lt;=0),Plan!$D$11,0)+IF(AND(N(Plan!$B$12)&gt;0,N(E94)&lt;=0),Plan!$D$12,0)+IF(AND(N(Plan!$B$13)&gt;0,N(F94)&lt;=0),Plan!$D$13,0)+IF(AND(N(Plan!$B$14)&gt;0,N(G94)&lt;=0),Plan!$D$14,0)+IF(AND(N(Plan!$B$15)&gt;0,N(H94)&lt;=0),Plan!$D$15,0)+IF(AND(N(Plan!$B$16)&gt;0,N(I94)&lt;=0),Plan!$D$16,0)+IF(AND(N(Plan!$B$17)&gt;0,N(J94)&lt;=0),Plan!$D$17,0)+IF(AND(N(Plan!$B$18)&gt;0,N(K94)&lt;=0),Plan!$D$18,0),0)))</f>
        <v/>
      </c>
    </row>
    <row r="96">
      <c r="A96" s="17" t="n">
        <v>92</v>
      </c>
      <c r="B96" s="18">
        <f>IF(N(B95)&lt;=0,0,MAX(0,B95*(1+Plan!$C$9/12)-(Plan!$D$9+IF(Plan!$E$9=$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C96" s="18">
        <f>IF(N(C95)&lt;=0,0,MAX(0,C95*(1+Plan!$C$10/12)-(Plan!$D$10+IF(Plan!$E$10=$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D96" s="18">
        <f>IF(N(D95)&lt;=0,0,MAX(0,D95*(1+Plan!$C$11/12)-(Plan!$D$11+IF(Plan!$E$11=$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E96" s="18">
        <f>IF(N(E95)&lt;=0,0,MAX(0,E95*(1+Plan!$C$12/12)-(Plan!$D$12+IF(Plan!$E$12=$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F96" s="18">
        <f>IF(N(F95)&lt;=0,0,MAX(0,F95*(1+Plan!$C$13/12)-(Plan!$D$13+IF(Plan!$E$13=$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G96" s="18">
        <f>IF(N(G95)&lt;=0,0,MAX(0,G95*(1+Plan!$C$14/12)-(Plan!$D$14+IF(Plan!$E$14=$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H96" s="18">
        <f>IF(N(H95)&lt;=0,0,MAX(0,H95*(1+Plan!$C$15/12)-(Plan!$D$15+IF(Plan!$E$15=$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I96" s="18">
        <f>IF(N(I95)&lt;=0,0,MAX(0,I95*(1+Plan!$C$16/12)-(Plan!$D$16+IF(Plan!$E$16=$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J96" s="18">
        <f>IF(N(J95)&lt;=0,0,MAX(0,J95*(1+Plan!$C$17/12)-(Plan!$D$17+IF(Plan!$E$17=$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K96" s="18">
        <f>IF(N(K95)&lt;=0,0,MAX(0,K95*(1+Plan!$C$18/12)-(Plan!$D$18+IF(Plan!$E$18=$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c r="L96" s="19">
        <f>MIN(IF(N(B95)&gt;0,Plan!$E$9,999),IF(N(C95)&gt;0,Plan!$E$10,999),IF(N(D95)&gt;0,Plan!$E$11,999),IF(N(E95)&gt;0,Plan!$E$12,999),IF(N(F95)&gt;0,Plan!$E$13,999),IF(N(G95)&gt;0,Plan!$E$14,999),IF(N(H95)&gt;0,Plan!$E$15,999),IF(N(I95)&gt;0,Plan!$E$16,999),IF(N(J95)&gt;0,Plan!$E$17,999),IF(N(K95)&gt;0,Plan!$E$18,999))</f>
        <v/>
      </c>
      <c r="M96" s="18">
        <f>IF(N(B95)&lt;=0,0,MIN(B95*(1+Plan!$C$9/12),Plan!$D$9+IF(Plan!$E$9=$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IF(N(C95)&lt;=0,0,MIN(C95*(1+Plan!$C$10/12),Plan!$D$10+IF(Plan!$E$10=$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IF(N(D95)&lt;=0,0,MIN(D95*(1+Plan!$C$11/12),Plan!$D$11+IF(Plan!$E$11=$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IF(N(E95)&lt;=0,0,MIN(E95*(1+Plan!$C$12/12),Plan!$D$12+IF(Plan!$E$12=$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IF(N(F95)&lt;=0,0,MIN(F95*(1+Plan!$C$13/12),Plan!$D$13+IF(Plan!$E$13=$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IF(N(G95)&lt;=0,0,MIN(G95*(1+Plan!$C$14/12),Plan!$D$14+IF(Plan!$E$14=$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IF(N(H95)&lt;=0,0,MIN(H95*(1+Plan!$C$15/12),Plan!$D$15+IF(Plan!$E$15=$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IF(N(I95)&lt;=0,0,MIN(I95*(1+Plan!$C$16/12),Plan!$D$16+IF(Plan!$E$16=$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IF(N(J95)&lt;=0,0,MIN(J95*(1+Plan!$C$17/12),Plan!$D$17+IF(Plan!$E$17=$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IF(N(K95)&lt;=0,0,MIN(K95*(1+Plan!$C$18/12),Plan!$D$18+IF(Plan!$E$18=$L96,Plan!$B$5+IF(AND(N(Plan!$B$9)&gt;0,N(B95)&lt;=0),Plan!$D$9,0)+IF(AND(N(Plan!$B$10)&gt;0,N(C95)&lt;=0),Plan!$D$10,0)+IF(AND(N(Plan!$B$11)&gt;0,N(D95)&lt;=0),Plan!$D$11,0)+IF(AND(N(Plan!$B$12)&gt;0,N(E95)&lt;=0),Plan!$D$12,0)+IF(AND(N(Plan!$B$13)&gt;0,N(F95)&lt;=0),Plan!$D$13,0)+IF(AND(N(Plan!$B$14)&gt;0,N(G95)&lt;=0),Plan!$D$14,0)+IF(AND(N(Plan!$B$15)&gt;0,N(H95)&lt;=0),Plan!$D$15,0)+IF(AND(N(Plan!$B$16)&gt;0,N(I95)&lt;=0),Plan!$D$16,0)+IF(AND(N(Plan!$B$17)&gt;0,N(J95)&lt;=0),Plan!$D$17,0)+IF(AND(N(Plan!$B$18)&gt;0,N(K95)&lt;=0),Plan!$D$18,0),0)))</f>
        <v/>
      </c>
    </row>
    <row r="97">
      <c r="A97" s="17" t="n">
        <v>93</v>
      </c>
      <c r="B97" s="18">
        <f>IF(N(B96)&lt;=0,0,MAX(0,B96*(1+Plan!$C$9/12)-(Plan!$D$9+IF(Plan!$E$9=$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C97" s="18">
        <f>IF(N(C96)&lt;=0,0,MAX(0,C96*(1+Plan!$C$10/12)-(Plan!$D$10+IF(Plan!$E$10=$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D97" s="18">
        <f>IF(N(D96)&lt;=0,0,MAX(0,D96*(1+Plan!$C$11/12)-(Plan!$D$11+IF(Plan!$E$11=$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E97" s="18">
        <f>IF(N(E96)&lt;=0,0,MAX(0,E96*(1+Plan!$C$12/12)-(Plan!$D$12+IF(Plan!$E$12=$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F97" s="18">
        <f>IF(N(F96)&lt;=0,0,MAX(0,F96*(1+Plan!$C$13/12)-(Plan!$D$13+IF(Plan!$E$13=$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G97" s="18">
        <f>IF(N(G96)&lt;=0,0,MAX(0,G96*(1+Plan!$C$14/12)-(Plan!$D$14+IF(Plan!$E$14=$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H97" s="18">
        <f>IF(N(H96)&lt;=0,0,MAX(0,H96*(1+Plan!$C$15/12)-(Plan!$D$15+IF(Plan!$E$15=$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I97" s="18">
        <f>IF(N(I96)&lt;=0,0,MAX(0,I96*(1+Plan!$C$16/12)-(Plan!$D$16+IF(Plan!$E$16=$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J97" s="18">
        <f>IF(N(J96)&lt;=0,0,MAX(0,J96*(1+Plan!$C$17/12)-(Plan!$D$17+IF(Plan!$E$17=$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K97" s="18">
        <f>IF(N(K96)&lt;=0,0,MAX(0,K96*(1+Plan!$C$18/12)-(Plan!$D$18+IF(Plan!$E$18=$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c r="L97" s="19">
        <f>MIN(IF(N(B96)&gt;0,Plan!$E$9,999),IF(N(C96)&gt;0,Plan!$E$10,999),IF(N(D96)&gt;0,Plan!$E$11,999),IF(N(E96)&gt;0,Plan!$E$12,999),IF(N(F96)&gt;0,Plan!$E$13,999),IF(N(G96)&gt;0,Plan!$E$14,999),IF(N(H96)&gt;0,Plan!$E$15,999),IF(N(I96)&gt;0,Plan!$E$16,999),IF(N(J96)&gt;0,Plan!$E$17,999),IF(N(K96)&gt;0,Plan!$E$18,999))</f>
        <v/>
      </c>
      <c r="M97" s="18">
        <f>IF(N(B96)&lt;=0,0,MIN(B96*(1+Plan!$C$9/12),Plan!$D$9+IF(Plan!$E$9=$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IF(N(C96)&lt;=0,0,MIN(C96*(1+Plan!$C$10/12),Plan!$D$10+IF(Plan!$E$10=$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IF(N(D96)&lt;=0,0,MIN(D96*(1+Plan!$C$11/12),Plan!$D$11+IF(Plan!$E$11=$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IF(N(E96)&lt;=0,0,MIN(E96*(1+Plan!$C$12/12),Plan!$D$12+IF(Plan!$E$12=$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IF(N(F96)&lt;=0,0,MIN(F96*(1+Plan!$C$13/12),Plan!$D$13+IF(Plan!$E$13=$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IF(N(G96)&lt;=0,0,MIN(G96*(1+Plan!$C$14/12),Plan!$D$14+IF(Plan!$E$14=$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IF(N(H96)&lt;=0,0,MIN(H96*(1+Plan!$C$15/12),Plan!$D$15+IF(Plan!$E$15=$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IF(N(I96)&lt;=0,0,MIN(I96*(1+Plan!$C$16/12),Plan!$D$16+IF(Plan!$E$16=$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IF(N(J96)&lt;=0,0,MIN(J96*(1+Plan!$C$17/12),Plan!$D$17+IF(Plan!$E$17=$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IF(N(K96)&lt;=0,0,MIN(K96*(1+Plan!$C$18/12),Plan!$D$18+IF(Plan!$E$18=$L97,Plan!$B$5+IF(AND(N(Plan!$B$9)&gt;0,N(B96)&lt;=0),Plan!$D$9,0)+IF(AND(N(Plan!$B$10)&gt;0,N(C96)&lt;=0),Plan!$D$10,0)+IF(AND(N(Plan!$B$11)&gt;0,N(D96)&lt;=0),Plan!$D$11,0)+IF(AND(N(Plan!$B$12)&gt;0,N(E96)&lt;=0),Plan!$D$12,0)+IF(AND(N(Plan!$B$13)&gt;0,N(F96)&lt;=0),Plan!$D$13,0)+IF(AND(N(Plan!$B$14)&gt;0,N(G96)&lt;=0),Plan!$D$14,0)+IF(AND(N(Plan!$B$15)&gt;0,N(H96)&lt;=0),Plan!$D$15,0)+IF(AND(N(Plan!$B$16)&gt;0,N(I96)&lt;=0),Plan!$D$16,0)+IF(AND(N(Plan!$B$17)&gt;0,N(J96)&lt;=0),Plan!$D$17,0)+IF(AND(N(Plan!$B$18)&gt;0,N(K96)&lt;=0),Plan!$D$18,0),0)))</f>
        <v/>
      </c>
    </row>
    <row r="98">
      <c r="A98" s="17" t="n">
        <v>94</v>
      </c>
      <c r="B98" s="18">
        <f>IF(N(B97)&lt;=0,0,MAX(0,B97*(1+Plan!$C$9/12)-(Plan!$D$9+IF(Plan!$E$9=$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C98" s="18">
        <f>IF(N(C97)&lt;=0,0,MAX(0,C97*(1+Plan!$C$10/12)-(Plan!$D$10+IF(Plan!$E$10=$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D98" s="18">
        <f>IF(N(D97)&lt;=0,0,MAX(0,D97*(1+Plan!$C$11/12)-(Plan!$D$11+IF(Plan!$E$11=$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E98" s="18">
        <f>IF(N(E97)&lt;=0,0,MAX(0,E97*(1+Plan!$C$12/12)-(Plan!$D$12+IF(Plan!$E$12=$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F98" s="18">
        <f>IF(N(F97)&lt;=0,0,MAX(0,F97*(1+Plan!$C$13/12)-(Plan!$D$13+IF(Plan!$E$13=$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G98" s="18">
        <f>IF(N(G97)&lt;=0,0,MAX(0,G97*(1+Plan!$C$14/12)-(Plan!$D$14+IF(Plan!$E$14=$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H98" s="18">
        <f>IF(N(H97)&lt;=0,0,MAX(0,H97*(1+Plan!$C$15/12)-(Plan!$D$15+IF(Plan!$E$15=$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I98" s="18">
        <f>IF(N(I97)&lt;=0,0,MAX(0,I97*(1+Plan!$C$16/12)-(Plan!$D$16+IF(Plan!$E$16=$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J98" s="18">
        <f>IF(N(J97)&lt;=0,0,MAX(0,J97*(1+Plan!$C$17/12)-(Plan!$D$17+IF(Plan!$E$17=$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K98" s="18">
        <f>IF(N(K97)&lt;=0,0,MAX(0,K97*(1+Plan!$C$18/12)-(Plan!$D$18+IF(Plan!$E$18=$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c r="L98" s="19">
        <f>MIN(IF(N(B97)&gt;0,Plan!$E$9,999),IF(N(C97)&gt;0,Plan!$E$10,999),IF(N(D97)&gt;0,Plan!$E$11,999),IF(N(E97)&gt;0,Plan!$E$12,999),IF(N(F97)&gt;0,Plan!$E$13,999),IF(N(G97)&gt;0,Plan!$E$14,999),IF(N(H97)&gt;0,Plan!$E$15,999),IF(N(I97)&gt;0,Plan!$E$16,999),IF(N(J97)&gt;0,Plan!$E$17,999),IF(N(K97)&gt;0,Plan!$E$18,999))</f>
        <v/>
      </c>
      <c r="M98" s="18">
        <f>IF(N(B97)&lt;=0,0,MIN(B97*(1+Plan!$C$9/12),Plan!$D$9+IF(Plan!$E$9=$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IF(N(C97)&lt;=0,0,MIN(C97*(1+Plan!$C$10/12),Plan!$D$10+IF(Plan!$E$10=$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IF(N(D97)&lt;=0,0,MIN(D97*(1+Plan!$C$11/12),Plan!$D$11+IF(Plan!$E$11=$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IF(N(E97)&lt;=0,0,MIN(E97*(1+Plan!$C$12/12),Plan!$D$12+IF(Plan!$E$12=$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IF(N(F97)&lt;=0,0,MIN(F97*(1+Plan!$C$13/12),Plan!$D$13+IF(Plan!$E$13=$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IF(N(G97)&lt;=0,0,MIN(G97*(1+Plan!$C$14/12),Plan!$D$14+IF(Plan!$E$14=$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IF(N(H97)&lt;=0,0,MIN(H97*(1+Plan!$C$15/12),Plan!$D$15+IF(Plan!$E$15=$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IF(N(I97)&lt;=0,0,MIN(I97*(1+Plan!$C$16/12),Plan!$D$16+IF(Plan!$E$16=$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IF(N(J97)&lt;=0,0,MIN(J97*(1+Plan!$C$17/12),Plan!$D$17+IF(Plan!$E$17=$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IF(N(K97)&lt;=0,0,MIN(K97*(1+Plan!$C$18/12),Plan!$D$18+IF(Plan!$E$18=$L98,Plan!$B$5+IF(AND(N(Plan!$B$9)&gt;0,N(B97)&lt;=0),Plan!$D$9,0)+IF(AND(N(Plan!$B$10)&gt;0,N(C97)&lt;=0),Plan!$D$10,0)+IF(AND(N(Plan!$B$11)&gt;0,N(D97)&lt;=0),Plan!$D$11,0)+IF(AND(N(Plan!$B$12)&gt;0,N(E97)&lt;=0),Plan!$D$12,0)+IF(AND(N(Plan!$B$13)&gt;0,N(F97)&lt;=0),Plan!$D$13,0)+IF(AND(N(Plan!$B$14)&gt;0,N(G97)&lt;=0),Plan!$D$14,0)+IF(AND(N(Plan!$B$15)&gt;0,N(H97)&lt;=0),Plan!$D$15,0)+IF(AND(N(Plan!$B$16)&gt;0,N(I97)&lt;=0),Plan!$D$16,0)+IF(AND(N(Plan!$B$17)&gt;0,N(J97)&lt;=0),Plan!$D$17,0)+IF(AND(N(Plan!$B$18)&gt;0,N(K97)&lt;=0),Plan!$D$18,0),0)))</f>
        <v/>
      </c>
    </row>
    <row r="99">
      <c r="A99" s="17" t="n">
        <v>95</v>
      </c>
      <c r="B99" s="18">
        <f>IF(N(B98)&lt;=0,0,MAX(0,B98*(1+Plan!$C$9/12)-(Plan!$D$9+IF(Plan!$E$9=$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C99" s="18">
        <f>IF(N(C98)&lt;=0,0,MAX(0,C98*(1+Plan!$C$10/12)-(Plan!$D$10+IF(Plan!$E$10=$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D99" s="18">
        <f>IF(N(D98)&lt;=0,0,MAX(0,D98*(1+Plan!$C$11/12)-(Plan!$D$11+IF(Plan!$E$11=$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E99" s="18">
        <f>IF(N(E98)&lt;=0,0,MAX(0,E98*(1+Plan!$C$12/12)-(Plan!$D$12+IF(Plan!$E$12=$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F99" s="18">
        <f>IF(N(F98)&lt;=0,0,MAX(0,F98*(1+Plan!$C$13/12)-(Plan!$D$13+IF(Plan!$E$13=$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G99" s="18">
        <f>IF(N(G98)&lt;=0,0,MAX(0,G98*(1+Plan!$C$14/12)-(Plan!$D$14+IF(Plan!$E$14=$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H99" s="18">
        <f>IF(N(H98)&lt;=0,0,MAX(0,H98*(1+Plan!$C$15/12)-(Plan!$D$15+IF(Plan!$E$15=$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I99" s="18">
        <f>IF(N(I98)&lt;=0,0,MAX(0,I98*(1+Plan!$C$16/12)-(Plan!$D$16+IF(Plan!$E$16=$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J99" s="18">
        <f>IF(N(J98)&lt;=0,0,MAX(0,J98*(1+Plan!$C$17/12)-(Plan!$D$17+IF(Plan!$E$17=$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K99" s="18">
        <f>IF(N(K98)&lt;=0,0,MAX(0,K98*(1+Plan!$C$18/12)-(Plan!$D$18+IF(Plan!$E$18=$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c r="L99" s="19">
        <f>MIN(IF(N(B98)&gt;0,Plan!$E$9,999),IF(N(C98)&gt;0,Plan!$E$10,999),IF(N(D98)&gt;0,Plan!$E$11,999),IF(N(E98)&gt;0,Plan!$E$12,999),IF(N(F98)&gt;0,Plan!$E$13,999),IF(N(G98)&gt;0,Plan!$E$14,999),IF(N(H98)&gt;0,Plan!$E$15,999),IF(N(I98)&gt;0,Plan!$E$16,999),IF(N(J98)&gt;0,Plan!$E$17,999),IF(N(K98)&gt;0,Plan!$E$18,999))</f>
        <v/>
      </c>
      <c r="M99" s="18">
        <f>IF(N(B98)&lt;=0,0,MIN(B98*(1+Plan!$C$9/12),Plan!$D$9+IF(Plan!$E$9=$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IF(N(C98)&lt;=0,0,MIN(C98*(1+Plan!$C$10/12),Plan!$D$10+IF(Plan!$E$10=$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IF(N(D98)&lt;=0,0,MIN(D98*(1+Plan!$C$11/12),Plan!$D$11+IF(Plan!$E$11=$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IF(N(E98)&lt;=0,0,MIN(E98*(1+Plan!$C$12/12),Plan!$D$12+IF(Plan!$E$12=$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IF(N(F98)&lt;=0,0,MIN(F98*(1+Plan!$C$13/12),Plan!$D$13+IF(Plan!$E$13=$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IF(N(G98)&lt;=0,0,MIN(G98*(1+Plan!$C$14/12),Plan!$D$14+IF(Plan!$E$14=$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IF(N(H98)&lt;=0,0,MIN(H98*(1+Plan!$C$15/12),Plan!$D$15+IF(Plan!$E$15=$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IF(N(I98)&lt;=0,0,MIN(I98*(1+Plan!$C$16/12),Plan!$D$16+IF(Plan!$E$16=$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IF(N(J98)&lt;=0,0,MIN(J98*(1+Plan!$C$17/12),Plan!$D$17+IF(Plan!$E$17=$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IF(N(K98)&lt;=0,0,MIN(K98*(1+Plan!$C$18/12),Plan!$D$18+IF(Plan!$E$18=$L99,Plan!$B$5+IF(AND(N(Plan!$B$9)&gt;0,N(B98)&lt;=0),Plan!$D$9,0)+IF(AND(N(Plan!$B$10)&gt;0,N(C98)&lt;=0),Plan!$D$10,0)+IF(AND(N(Plan!$B$11)&gt;0,N(D98)&lt;=0),Plan!$D$11,0)+IF(AND(N(Plan!$B$12)&gt;0,N(E98)&lt;=0),Plan!$D$12,0)+IF(AND(N(Plan!$B$13)&gt;0,N(F98)&lt;=0),Plan!$D$13,0)+IF(AND(N(Plan!$B$14)&gt;0,N(G98)&lt;=0),Plan!$D$14,0)+IF(AND(N(Plan!$B$15)&gt;0,N(H98)&lt;=0),Plan!$D$15,0)+IF(AND(N(Plan!$B$16)&gt;0,N(I98)&lt;=0),Plan!$D$16,0)+IF(AND(N(Plan!$B$17)&gt;0,N(J98)&lt;=0),Plan!$D$17,0)+IF(AND(N(Plan!$B$18)&gt;0,N(K98)&lt;=0),Plan!$D$18,0),0)))</f>
        <v/>
      </c>
    </row>
    <row r="100">
      <c r="A100" s="17" t="n">
        <v>96</v>
      </c>
      <c r="B100" s="18">
        <f>IF(N(B99)&lt;=0,0,MAX(0,B99*(1+Plan!$C$9/12)-(Plan!$D$9+IF(Plan!$E$9=$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C100" s="18">
        <f>IF(N(C99)&lt;=0,0,MAX(0,C99*(1+Plan!$C$10/12)-(Plan!$D$10+IF(Plan!$E$10=$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D100" s="18">
        <f>IF(N(D99)&lt;=0,0,MAX(0,D99*(1+Plan!$C$11/12)-(Plan!$D$11+IF(Plan!$E$11=$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E100" s="18">
        <f>IF(N(E99)&lt;=0,0,MAX(0,E99*(1+Plan!$C$12/12)-(Plan!$D$12+IF(Plan!$E$12=$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F100" s="18">
        <f>IF(N(F99)&lt;=0,0,MAX(0,F99*(1+Plan!$C$13/12)-(Plan!$D$13+IF(Plan!$E$13=$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G100" s="18">
        <f>IF(N(G99)&lt;=0,0,MAX(0,G99*(1+Plan!$C$14/12)-(Plan!$D$14+IF(Plan!$E$14=$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H100" s="18">
        <f>IF(N(H99)&lt;=0,0,MAX(0,H99*(1+Plan!$C$15/12)-(Plan!$D$15+IF(Plan!$E$15=$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I100" s="18">
        <f>IF(N(I99)&lt;=0,0,MAX(0,I99*(1+Plan!$C$16/12)-(Plan!$D$16+IF(Plan!$E$16=$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J100" s="18">
        <f>IF(N(J99)&lt;=0,0,MAX(0,J99*(1+Plan!$C$17/12)-(Plan!$D$17+IF(Plan!$E$17=$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K100" s="18">
        <f>IF(N(K99)&lt;=0,0,MAX(0,K99*(1+Plan!$C$18/12)-(Plan!$D$18+IF(Plan!$E$18=$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c r="L100" s="19">
        <f>MIN(IF(N(B99)&gt;0,Plan!$E$9,999),IF(N(C99)&gt;0,Plan!$E$10,999),IF(N(D99)&gt;0,Plan!$E$11,999),IF(N(E99)&gt;0,Plan!$E$12,999),IF(N(F99)&gt;0,Plan!$E$13,999),IF(N(G99)&gt;0,Plan!$E$14,999),IF(N(H99)&gt;0,Plan!$E$15,999),IF(N(I99)&gt;0,Plan!$E$16,999),IF(N(J99)&gt;0,Plan!$E$17,999),IF(N(K99)&gt;0,Plan!$E$18,999))</f>
        <v/>
      </c>
      <c r="M100" s="18">
        <f>IF(N(B99)&lt;=0,0,MIN(B99*(1+Plan!$C$9/12),Plan!$D$9+IF(Plan!$E$9=$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IF(N(C99)&lt;=0,0,MIN(C99*(1+Plan!$C$10/12),Plan!$D$10+IF(Plan!$E$10=$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IF(N(D99)&lt;=0,0,MIN(D99*(1+Plan!$C$11/12),Plan!$D$11+IF(Plan!$E$11=$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IF(N(E99)&lt;=0,0,MIN(E99*(1+Plan!$C$12/12),Plan!$D$12+IF(Plan!$E$12=$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IF(N(F99)&lt;=0,0,MIN(F99*(1+Plan!$C$13/12),Plan!$D$13+IF(Plan!$E$13=$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IF(N(G99)&lt;=0,0,MIN(G99*(1+Plan!$C$14/12),Plan!$D$14+IF(Plan!$E$14=$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IF(N(H99)&lt;=0,0,MIN(H99*(1+Plan!$C$15/12),Plan!$D$15+IF(Plan!$E$15=$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IF(N(I99)&lt;=0,0,MIN(I99*(1+Plan!$C$16/12),Plan!$D$16+IF(Plan!$E$16=$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IF(N(J99)&lt;=0,0,MIN(J99*(1+Plan!$C$17/12),Plan!$D$17+IF(Plan!$E$17=$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IF(N(K99)&lt;=0,0,MIN(K99*(1+Plan!$C$18/12),Plan!$D$18+IF(Plan!$E$18=$L100,Plan!$B$5+IF(AND(N(Plan!$B$9)&gt;0,N(B99)&lt;=0),Plan!$D$9,0)+IF(AND(N(Plan!$B$10)&gt;0,N(C99)&lt;=0),Plan!$D$10,0)+IF(AND(N(Plan!$B$11)&gt;0,N(D99)&lt;=0),Plan!$D$11,0)+IF(AND(N(Plan!$B$12)&gt;0,N(E99)&lt;=0),Plan!$D$12,0)+IF(AND(N(Plan!$B$13)&gt;0,N(F99)&lt;=0),Plan!$D$13,0)+IF(AND(N(Plan!$B$14)&gt;0,N(G99)&lt;=0),Plan!$D$14,0)+IF(AND(N(Plan!$B$15)&gt;0,N(H99)&lt;=0),Plan!$D$15,0)+IF(AND(N(Plan!$B$16)&gt;0,N(I99)&lt;=0),Plan!$D$16,0)+IF(AND(N(Plan!$B$17)&gt;0,N(J99)&lt;=0),Plan!$D$17,0)+IF(AND(N(Plan!$B$18)&gt;0,N(K99)&lt;=0),Plan!$D$18,0),0)))</f>
        <v/>
      </c>
    </row>
    <row r="101">
      <c r="A101" s="17" t="n">
        <v>97</v>
      </c>
      <c r="B101" s="18">
        <f>IF(N(B100)&lt;=0,0,MAX(0,B100*(1+Plan!$C$9/12)-(Plan!$D$9+IF(Plan!$E$9=$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C101" s="18">
        <f>IF(N(C100)&lt;=0,0,MAX(0,C100*(1+Plan!$C$10/12)-(Plan!$D$10+IF(Plan!$E$10=$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D101" s="18">
        <f>IF(N(D100)&lt;=0,0,MAX(0,D100*(1+Plan!$C$11/12)-(Plan!$D$11+IF(Plan!$E$11=$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E101" s="18">
        <f>IF(N(E100)&lt;=0,0,MAX(0,E100*(1+Plan!$C$12/12)-(Plan!$D$12+IF(Plan!$E$12=$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F101" s="18">
        <f>IF(N(F100)&lt;=0,0,MAX(0,F100*(1+Plan!$C$13/12)-(Plan!$D$13+IF(Plan!$E$13=$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G101" s="18">
        <f>IF(N(G100)&lt;=0,0,MAX(0,G100*(1+Plan!$C$14/12)-(Plan!$D$14+IF(Plan!$E$14=$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H101" s="18">
        <f>IF(N(H100)&lt;=0,0,MAX(0,H100*(1+Plan!$C$15/12)-(Plan!$D$15+IF(Plan!$E$15=$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I101" s="18">
        <f>IF(N(I100)&lt;=0,0,MAX(0,I100*(1+Plan!$C$16/12)-(Plan!$D$16+IF(Plan!$E$16=$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J101" s="18">
        <f>IF(N(J100)&lt;=0,0,MAX(0,J100*(1+Plan!$C$17/12)-(Plan!$D$17+IF(Plan!$E$17=$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K101" s="18">
        <f>IF(N(K100)&lt;=0,0,MAX(0,K100*(1+Plan!$C$18/12)-(Plan!$D$18+IF(Plan!$E$18=$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c r="L101" s="19">
        <f>MIN(IF(N(B100)&gt;0,Plan!$E$9,999),IF(N(C100)&gt;0,Plan!$E$10,999),IF(N(D100)&gt;0,Plan!$E$11,999),IF(N(E100)&gt;0,Plan!$E$12,999),IF(N(F100)&gt;0,Plan!$E$13,999),IF(N(G100)&gt;0,Plan!$E$14,999),IF(N(H100)&gt;0,Plan!$E$15,999),IF(N(I100)&gt;0,Plan!$E$16,999),IF(N(J100)&gt;0,Plan!$E$17,999),IF(N(K100)&gt;0,Plan!$E$18,999))</f>
        <v/>
      </c>
      <c r="M101" s="18">
        <f>IF(N(B100)&lt;=0,0,MIN(B100*(1+Plan!$C$9/12),Plan!$D$9+IF(Plan!$E$9=$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IF(N(C100)&lt;=0,0,MIN(C100*(1+Plan!$C$10/12),Plan!$D$10+IF(Plan!$E$10=$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IF(N(D100)&lt;=0,0,MIN(D100*(1+Plan!$C$11/12),Plan!$D$11+IF(Plan!$E$11=$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IF(N(E100)&lt;=0,0,MIN(E100*(1+Plan!$C$12/12),Plan!$D$12+IF(Plan!$E$12=$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IF(N(F100)&lt;=0,0,MIN(F100*(1+Plan!$C$13/12),Plan!$D$13+IF(Plan!$E$13=$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IF(N(G100)&lt;=0,0,MIN(G100*(1+Plan!$C$14/12),Plan!$D$14+IF(Plan!$E$14=$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IF(N(H100)&lt;=0,0,MIN(H100*(1+Plan!$C$15/12),Plan!$D$15+IF(Plan!$E$15=$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IF(N(I100)&lt;=0,0,MIN(I100*(1+Plan!$C$16/12),Plan!$D$16+IF(Plan!$E$16=$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IF(N(J100)&lt;=0,0,MIN(J100*(1+Plan!$C$17/12),Plan!$D$17+IF(Plan!$E$17=$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IF(N(K100)&lt;=0,0,MIN(K100*(1+Plan!$C$18/12),Plan!$D$18+IF(Plan!$E$18=$L101,Plan!$B$5+IF(AND(N(Plan!$B$9)&gt;0,N(B100)&lt;=0),Plan!$D$9,0)+IF(AND(N(Plan!$B$10)&gt;0,N(C100)&lt;=0),Plan!$D$10,0)+IF(AND(N(Plan!$B$11)&gt;0,N(D100)&lt;=0),Plan!$D$11,0)+IF(AND(N(Plan!$B$12)&gt;0,N(E100)&lt;=0),Plan!$D$12,0)+IF(AND(N(Plan!$B$13)&gt;0,N(F100)&lt;=0),Plan!$D$13,0)+IF(AND(N(Plan!$B$14)&gt;0,N(G100)&lt;=0),Plan!$D$14,0)+IF(AND(N(Plan!$B$15)&gt;0,N(H100)&lt;=0),Plan!$D$15,0)+IF(AND(N(Plan!$B$16)&gt;0,N(I100)&lt;=0),Plan!$D$16,0)+IF(AND(N(Plan!$B$17)&gt;0,N(J100)&lt;=0),Plan!$D$17,0)+IF(AND(N(Plan!$B$18)&gt;0,N(K100)&lt;=0),Plan!$D$18,0),0)))</f>
        <v/>
      </c>
    </row>
    <row r="102">
      <c r="A102" s="17" t="n">
        <v>98</v>
      </c>
      <c r="B102" s="18">
        <f>IF(N(B101)&lt;=0,0,MAX(0,B101*(1+Plan!$C$9/12)-(Plan!$D$9+IF(Plan!$E$9=$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C102" s="18">
        <f>IF(N(C101)&lt;=0,0,MAX(0,C101*(1+Plan!$C$10/12)-(Plan!$D$10+IF(Plan!$E$10=$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D102" s="18">
        <f>IF(N(D101)&lt;=0,0,MAX(0,D101*(1+Plan!$C$11/12)-(Plan!$D$11+IF(Plan!$E$11=$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E102" s="18">
        <f>IF(N(E101)&lt;=0,0,MAX(0,E101*(1+Plan!$C$12/12)-(Plan!$D$12+IF(Plan!$E$12=$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F102" s="18">
        <f>IF(N(F101)&lt;=0,0,MAX(0,F101*(1+Plan!$C$13/12)-(Plan!$D$13+IF(Plan!$E$13=$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G102" s="18">
        <f>IF(N(G101)&lt;=0,0,MAX(0,G101*(1+Plan!$C$14/12)-(Plan!$D$14+IF(Plan!$E$14=$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H102" s="18">
        <f>IF(N(H101)&lt;=0,0,MAX(0,H101*(1+Plan!$C$15/12)-(Plan!$D$15+IF(Plan!$E$15=$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I102" s="18">
        <f>IF(N(I101)&lt;=0,0,MAX(0,I101*(1+Plan!$C$16/12)-(Plan!$D$16+IF(Plan!$E$16=$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J102" s="18">
        <f>IF(N(J101)&lt;=0,0,MAX(0,J101*(1+Plan!$C$17/12)-(Plan!$D$17+IF(Plan!$E$17=$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K102" s="18">
        <f>IF(N(K101)&lt;=0,0,MAX(0,K101*(1+Plan!$C$18/12)-(Plan!$D$18+IF(Plan!$E$18=$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c r="L102" s="19">
        <f>MIN(IF(N(B101)&gt;0,Plan!$E$9,999),IF(N(C101)&gt;0,Plan!$E$10,999),IF(N(D101)&gt;0,Plan!$E$11,999),IF(N(E101)&gt;0,Plan!$E$12,999),IF(N(F101)&gt;0,Plan!$E$13,999),IF(N(G101)&gt;0,Plan!$E$14,999),IF(N(H101)&gt;0,Plan!$E$15,999),IF(N(I101)&gt;0,Plan!$E$16,999),IF(N(J101)&gt;0,Plan!$E$17,999),IF(N(K101)&gt;0,Plan!$E$18,999))</f>
        <v/>
      </c>
      <c r="M102" s="18">
        <f>IF(N(B101)&lt;=0,0,MIN(B101*(1+Plan!$C$9/12),Plan!$D$9+IF(Plan!$E$9=$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IF(N(C101)&lt;=0,0,MIN(C101*(1+Plan!$C$10/12),Plan!$D$10+IF(Plan!$E$10=$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IF(N(D101)&lt;=0,0,MIN(D101*(1+Plan!$C$11/12),Plan!$D$11+IF(Plan!$E$11=$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IF(N(E101)&lt;=0,0,MIN(E101*(1+Plan!$C$12/12),Plan!$D$12+IF(Plan!$E$12=$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IF(N(F101)&lt;=0,0,MIN(F101*(1+Plan!$C$13/12),Plan!$D$13+IF(Plan!$E$13=$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IF(N(G101)&lt;=0,0,MIN(G101*(1+Plan!$C$14/12),Plan!$D$14+IF(Plan!$E$14=$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IF(N(H101)&lt;=0,0,MIN(H101*(1+Plan!$C$15/12),Plan!$D$15+IF(Plan!$E$15=$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IF(N(I101)&lt;=0,0,MIN(I101*(1+Plan!$C$16/12),Plan!$D$16+IF(Plan!$E$16=$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IF(N(J101)&lt;=0,0,MIN(J101*(1+Plan!$C$17/12),Plan!$D$17+IF(Plan!$E$17=$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IF(N(K101)&lt;=0,0,MIN(K101*(1+Plan!$C$18/12),Plan!$D$18+IF(Plan!$E$18=$L102,Plan!$B$5+IF(AND(N(Plan!$B$9)&gt;0,N(B101)&lt;=0),Plan!$D$9,0)+IF(AND(N(Plan!$B$10)&gt;0,N(C101)&lt;=0),Plan!$D$10,0)+IF(AND(N(Plan!$B$11)&gt;0,N(D101)&lt;=0),Plan!$D$11,0)+IF(AND(N(Plan!$B$12)&gt;0,N(E101)&lt;=0),Plan!$D$12,0)+IF(AND(N(Plan!$B$13)&gt;0,N(F101)&lt;=0),Plan!$D$13,0)+IF(AND(N(Plan!$B$14)&gt;0,N(G101)&lt;=0),Plan!$D$14,0)+IF(AND(N(Plan!$B$15)&gt;0,N(H101)&lt;=0),Plan!$D$15,0)+IF(AND(N(Plan!$B$16)&gt;0,N(I101)&lt;=0),Plan!$D$16,0)+IF(AND(N(Plan!$B$17)&gt;0,N(J101)&lt;=0),Plan!$D$17,0)+IF(AND(N(Plan!$B$18)&gt;0,N(K101)&lt;=0),Plan!$D$18,0),0)))</f>
        <v/>
      </c>
    </row>
    <row r="103">
      <c r="A103" s="17" t="n">
        <v>99</v>
      </c>
      <c r="B103" s="18">
        <f>IF(N(B102)&lt;=0,0,MAX(0,B102*(1+Plan!$C$9/12)-(Plan!$D$9+IF(Plan!$E$9=$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C103" s="18">
        <f>IF(N(C102)&lt;=0,0,MAX(0,C102*(1+Plan!$C$10/12)-(Plan!$D$10+IF(Plan!$E$10=$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D103" s="18">
        <f>IF(N(D102)&lt;=0,0,MAX(0,D102*(1+Plan!$C$11/12)-(Plan!$D$11+IF(Plan!$E$11=$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E103" s="18">
        <f>IF(N(E102)&lt;=0,0,MAX(0,E102*(1+Plan!$C$12/12)-(Plan!$D$12+IF(Plan!$E$12=$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F103" s="18">
        <f>IF(N(F102)&lt;=0,0,MAX(0,F102*(1+Plan!$C$13/12)-(Plan!$D$13+IF(Plan!$E$13=$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G103" s="18">
        <f>IF(N(G102)&lt;=0,0,MAX(0,G102*(1+Plan!$C$14/12)-(Plan!$D$14+IF(Plan!$E$14=$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H103" s="18">
        <f>IF(N(H102)&lt;=0,0,MAX(0,H102*(1+Plan!$C$15/12)-(Plan!$D$15+IF(Plan!$E$15=$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I103" s="18">
        <f>IF(N(I102)&lt;=0,0,MAX(0,I102*(1+Plan!$C$16/12)-(Plan!$D$16+IF(Plan!$E$16=$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J103" s="18">
        <f>IF(N(J102)&lt;=0,0,MAX(0,J102*(1+Plan!$C$17/12)-(Plan!$D$17+IF(Plan!$E$17=$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K103" s="18">
        <f>IF(N(K102)&lt;=0,0,MAX(0,K102*(1+Plan!$C$18/12)-(Plan!$D$18+IF(Plan!$E$18=$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c r="L103" s="19">
        <f>MIN(IF(N(B102)&gt;0,Plan!$E$9,999),IF(N(C102)&gt;0,Plan!$E$10,999),IF(N(D102)&gt;0,Plan!$E$11,999),IF(N(E102)&gt;0,Plan!$E$12,999),IF(N(F102)&gt;0,Plan!$E$13,999),IF(N(G102)&gt;0,Plan!$E$14,999),IF(N(H102)&gt;0,Plan!$E$15,999),IF(N(I102)&gt;0,Plan!$E$16,999),IF(N(J102)&gt;0,Plan!$E$17,999),IF(N(K102)&gt;0,Plan!$E$18,999))</f>
        <v/>
      </c>
      <c r="M103" s="18">
        <f>IF(N(B102)&lt;=0,0,MIN(B102*(1+Plan!$C$9/12),Plan!$D$9+IF(Plan!$E$9=$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IF(N(C102)&lt;=0,0,MIN(C102*(1+Plan!$C$10/12),Plan!$D$10+IF(Plan!$E$10=$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IF(N(D102)&lt;=0,0,MIN(D102*(1+Plan!$C$11/12),Plan!$D$11+IF(Plan!$E$11=$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IF(N(E102)&lt;=0,0,MIN(E102*(1+Plan!$C$12/12),Plan!$D$12+IF(Plan!$E$12=$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IF(N(F102)&lt;=0,0,MIN(F102*(1+Plan!$C$13/12),Plan!$D$13+IF(Plan!$E$13=$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IF(N(G102)&lt;=0,0,MIN(G102*(1+Plan!$C$14/12),Plan!$D$14+IF(Plan!$E$14=$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IF(N(H102)&lt;=0,0,MIN(H102*(1+Plan!$C$15/12),Plan!$D$15+IF(Plan!$E$15=$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IF(N(I102)&lt;=0,0,MIN(I102*(1+Plan!$C$16/12),Plan!$D$16+IF(Plan!$E$16=$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IF(N(J102)&lt;=0,0,MIN(J102*(1+Plan!$C$17/12),Plan!$D$17+IF(Plan!$E$17=$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IF(N(K102)&lt;=0,0,MIN(K102*(1+Plan!$C$18/12),Plan!$D$18+IF(Plan!$E$18=$L103,Plan!$B$5+IF(AND(N(Plan!$B$9)&gt;0,N(B102)&lt;=0),Plan!$D$9,0)+IF(AND(N(Plan!$B$10)&gt;0,N(C102)&lt;=0),Plan!$D$10,0)+IF(AND(N(Plan!$B$11)&gt;0,N(D102)&lt;=0),Plan!$D$11,0)+IF(AND(N(Plan!$B$12)&gt;0,N(E102)&lt;=0),Plan!$D$12,0)+IF(AND(N(Plan!$B$13)&gt;0,N(F102)&lt;=0),Plan!$D$13,0)+IF(AND(N(Plan!$B$14)&gt;0,N(G102)&lt;=0),Plan!$D$14,0)+IF(AND(N(Plan!$B$15)&gt;0,N(H102)&lt;=0),Plan!$D$15,0)+IF(AND(N(Plan!$B$16)&gt;0,N(I102)&lt;=0),Plan!$D$16,0)+IF(AND(N(Plan!$B$17)&gt;0,N(J102)&lt;=0),Plan!$D$17,0)+IF(AND(N(Plan!$B$18)&gt;0,N(K102)&lt;=0),Plan!$D$18,0),0)))</f>
        <v/>
      </c>
    </row>
    <row r="104">
      <c r="A104" s="17" t="n">
        <v>100</v>
      </c>
      <c r="B104" s="18">
        <f>IF(N(B103)&lt;=0,0,MAX(0,B103*(1+Plan!$C$9/12)-(Plan!$D$9+IF(Plan!$E$9=$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C104" s="18">
        <f>IF(N(C103)&lt;=0,0,MAX(0,C103*(1+Plan!$C$10/12)-(Plan!$D$10+IF(Plan!$E$10=$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D104" s="18">
        <f>IF(N(D103)&lt;=0,0,MAX(0,D103*(1+Plan!$C$11/12)-(Plan!$D$11+IF(Plan!$E$11=$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E104" s="18">
        <f>IF(N(E103)&lt;=0,0,MAX(0,E103*(1+Plan!$C$12/12)-(Plan!$D$12+IF(Plan!$E$12=$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F104" s="18">
        <f>IF(N(F103)&lt;=0,0,MAX(0,F103*(1+Plan!$C$13/12)-(Plan!$D$13+IF(Plan!$E$13=$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G104" s="18">
        <f>IF(N(G103)&lt;=0,0,MAX(0,G103*(1+Plan!$C$14/12)-(Plan!$D$14+IF(Plan!$E$14=$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H104" s="18">
        <f>IF(N(H103)&lt;=0,0,MAX(0,H103*(1+Plan!$C$15/12)-(Plan!$D$15+IF(Plan!$E$15=$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I104" s="18">
        <f>IF(N(I103)&lt;=0,0,MAX(0,I103*(1+Plan!$C$16/12)-(Plan!$D$16+IF(Plan!$E$16=$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J104" s="18">
        <f>IF(N(J103)&lt;=0,0,MAX(0,J103*(1+Plan!$C$17/12)-(Plan!$D$17+IF(Plan!$E$17=$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K104" s="18">
        <f>IF(N(K103)&lt;=0,0,MAX(0,K103*(1+Plan!$C$18/12)-(Plan!$D$18+IF(Plan!$E$18=$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c r="L104" s="19">
        <f>MIN(IF(N(B103)&gt;0,Plan!$E$9,999),IF(N(C103)&gt;0,Plan!$E$10,999),IF(N(D103)&gt;0,Plan!$E$11,999),IF(N(E103)&gt;0,Plan!$E$12,999),IF(N(F103)&gt;0,Plan!$E$13,999),IF(N(G103)&gt;0,Plan!$E$14,999),IF(N(H103)&gt;0,Plan!$E$15,999),IF(N(I103)&gt;0,Plan!$E$16,999),IF(N(J103)&gt;0,Plan!$E$17,999),IF(N(K103)&gt;0,Plan!$E$18,999))</f>
        <v/>
      </c>
      <c r="M104" s="18">
        <f>IF(N(B103)&lt;=0,0,MIN(B103*(1+Plan!$C$9/12),Plan!$D$9+IF(Plan!$E$9=$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IF(N(C103)&lt;=0,0,MIN(C103*(1+Plan!$C$10/12),Plan!$D$10+IF(Plan!$E$10=$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IF(N(D103)&lt;=0,0,MIN(D103*(1+Plan!$C$11/12),Plan!$D$11+IF(Plan!$E$11=$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IF(N(E103)&lt;=0,0,MIN(E103*(1+Plan!$C$12/12),Plan!$D$12+IF(Plan!$E$12=$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IF(N(F103)&lt;=0,0,MIN(F103*(1+Plan!$C$13/12),Plan!$D$13+IF(Plan!$E$13=$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IF(N(G103)&lt;=0,0,MIN(G103*(1+Plan!$C$14/12),Plan!$D$14+IF(Plan!$E$14=$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IF(N(H103)&lt;=0,0,MIN(H103*(1+Plan!$C$15/12),Plan!$D$15+IF(Plan!$E$15=$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IF(N(I103)&lt;=0,0,MIN(I103*(1+Plan!$C$16/12),Plan!$D$16+IF(Plan!$E$16=$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IF(N(J103)&lt;=0,0,MIN(J103*(1+Plan!$C$17/12),Plan!$D$17+IF(Plan!$E$17=$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IF(N(K103)&lt;=0,0,MIN(K103*(1+Plan!$C$18/12),Plan!$D$18+IF(Plan!$E$18=$L104,Plan!$B$5+IF(AND(N(Plan!$B$9)&gt;0,N(B103)&lt;=0),Plan!$D$9,0)+IF(AND(N(Plan!$B$10)&gt;0,N(C103)&lt;=0),Plan!$D$10,0)+IF(AND(N(Plan!$B$11)&gt;0,N(D103)&lt;=0),Plan!$D$11,0)+IF(AND(N(Plan!$B$12)&gt;0,N(E103)&lt;=0),Plan!$D$12,0)+IF(AND(N(Plan!$B$13)&gt;0,N(F103)&lt;=0),Plan!$D$13,0)+IF(AND(N(Plan!$B$14)&gt;0,N(G103)&lt;=0),Plan!$D$14,0)+IF(AND(N(Plan!$B$15)&gt;0,N(H103)&lt;=0),Plan!$D$15,0)+IF(AND(N(Plan!$B$16)&gt;0,N(I103)&lt;=0),Plan!$D$16,0)+IF(AND(N(Plan!$B$17)&gt;0,N(J103)&lt;=0),Plan!$D$17,0)+IF(AND(N(Plan!$B$18)&gt;0,N(K103)&lt;=0),Plan!$D$18,0),0)))</f>
        <v/>
      </c>
    </row>
    <row r="105">
      <c r="A105" s="17" t="n">
        <v>101</v>
      </c>
      <c r="B105" s="18">
        <f>IF(N(B104)&lt;=0,0,MAX(0,B104*(1+Plan!$C$9/12)-(Plan!$D$9+IF(Plan!$E$9=$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C105" s="18">
        <f>IF(N(C104)&lt;=0,0,MAX(0,C104*(1+Plan!$C$10/12)-(Plan!$D$10+IF(Plan!$E$10=$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D105" s="18">
        <f>IF(N(D104)&lt;=0,0,MAX(0,D104*(1+Plan!$C$11/12)-(Plan!$D$11+IF(Plan!$E$11=$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E105" s="18">
        <f>IF(N(E104)&lt;=0,0,MAX(0,E104*(1+Plan!$C$12/12)-(Plan!$D$12+IF(Plan!$E$12=$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F105" s="18">
        <f>IF(N(F104)&lt;=0,0,MAX(0,F104*(1+Plan!$C$13/12)-(Plan!$D$13+IF(Plan!$E$13=$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G105" s="18">
        <f>IF(N(G104)&lt;=0,0,MAX(0,G104*(1+Plan!$C$14/12)-(Plan!$D$14+IF(Plan!$E$14=$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H105" s="18">
        <f>IF(N(H104)&lt;=0,0,MAX(0,H104*(1+Plan!$C$15/12)-(Plan!$D$15+IF(Plan!$E$15=$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I105" s="18">
        <f>IF(N(I104)&lt;=0,0,MAX(0,I104*(1+Plan!$C$16/12)-(Plan!$D$16+IF(Plan!$E$16=$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J105" s="18">
        <f>IF(N(J104)&lt;=0,0,MAX(0,J104*(1+Plan!$C$17/12)-(Plan!$D$17+IF(Plan!$E$17=$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K105" s="18">
        <f>IF(N(K104)&lt;=0,0,MAX(0,K104*(1+Plan!$C$18/12)-(Plan!$D$18+IF(Plan!$E$18=$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c r="L105" s="19">
        <f>MIN(IF(N(B104)&gt;0,Plan!$E$9,999),IF(N(C104)&gt;0,Plan!$E$10,999),IF(N(D104)&gt;0,Plan!$E$11,999),IF(N(E104)&gt;0,Plan!$E$12,999),IF(N(F104)&gt;0,Plan!$E$13,999),IF(N(G104)&gt;0,Plan!$E$14,999),IF(N(H104)&gt;0,Plan!$E$15,999),IF(N(I104)&gt;0,Plan!$E$16,999),IF(N(J104)&gt;0,Plan!$E$17,999),IF(N(K104)&gt;0,Plan!$E$18,999))</f>
        <v/>
      </c>
      <c r="M105" s="18">
        <f>IF(N(B104)&lt;=0,0,MIN(B104*(1+Plan!$C$9/12),Plan!$D$9+IF(Plan!$E$9=$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IF(N(C104)&lt;=0,0,MIN(C104*(1+Plan!$C$10/12),Plan!$D$10+IF(Plan!$E$10=$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IF(N(D104)&lt;=0,0,MIN(D104*(1+Plan!$C$11/12),Plan!$D$11+IF(Plan!$E$11=$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IF(N(E104)&lt;=0,0,MIN(E104*(1+Plan!$C$12/12),Plan!$D$12+IF(Plan!$E$12=$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IF(N(F104)&lt;=0,0,MIN(F104*(1+Plan!$C$13/12),Plan!$D$13+IF(Plan!$E$13=$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IF(N(G104)&lt;=0,0,MIN(G104*(1+Plan!$C$14/12),Plan!$D$14+IF(Plan!$E$14=$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IF(N(H104)&lt;=0,0,MIN(H104*(1+Plan!$C$15/12),Plan!$D$15+IF(Plan!$E$15=$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IF(N(I104)&lt;=0,0,MIN(I104*(1+Plan!$C$16/12),Plan!$D$16+IF(Plan!$E$16=$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IF(N(J104)&lt;=0,0,MIN(J104*(1+Plan!$C$17/12),Plan!$D$17+IF(Plan!$E$17=$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IF(N(K104)&lt;=0,0,MIN(K104*(1+Plan!$C$18/12),Plan!$D$18+IF(Plan!$E$18=$L105,Plan!$B$5+IF(AND(N(Plan!$B$9)&gt;0,N(B104)&lt;=0),Plan!$D$9,0)+IF(AND(N(Plan!$B$10)&gt;0,N(C104)&lt;=0),Plan!$D$10,0)+IF(AND(N(Plan!$B$11)&gt;0,N(D104)&lt;=0),Plan!$D$11,0)+IF(AND(N(Plan!$B$12)&gt;0,N(E104)&lt;=0),Plan!$D$12,0)+IF(AND(N(Plan!$B$13)&gt;0,N(F104)&lt;=0),Plan!$D$13,0)+IF(AND(N(Plan!$B$14)&gt;0,N(G104)&lt;=0),Plan!$D$14,0)+IF(AND(N(Plan!$B$15)&gt;0,N(H104)&lt;=0),Plan!$D$15,0)+IF(AND(N(Plan!$B$16)&gt;0,N(I104)&lt;=0),Plan!$D$16,0)+IF(AND(N(Plan!$B$17)&gt;0,N(J104)&lt;=0),Plan!$D$17,0)+IF(AND(N(Plan!$B$18)&gt;0,N(K104)&lt;=0),Plan!$D$18,0),0)))</f>
        <v/>
      </c>
    </row>
    <row r="106">
      <c r="A106" s="17" t="n">
        <v>102</v>
      </c>
      <c r="B106" s="18">
        <f>IF(N(B105)&lt;=0,0,MAX(0,B105*(1+Plan!$C$9/12)-(Plan!$D$9+IF(Plan!$E$9=$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C106" s="18">
        <f>IF(N(C105)&lt;=0,0,MAX(0,C105*(1+Plan!$C$10/12)-(Plan!$D$10+IF(Plan!$E$10=$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D106" s="18">
        <f>IF(N(D105)&lt;=0,0,MAX(0,D105*(1+Plan!$C$11/12)-(Plan!$D$11+IF(Plan!$E$11=$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E106" s="18">
        <f>IF(N(E105)&lt;=0,0,MAX(0,E105*(1+Plan!$C$12/12)-(Plan!$D$12+IF(Plan!$E$12=$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F106" s="18">
        <f>IF(N(F105)&lt;=0,0,MAX(0,F105*(1+Plan!$C$13/12)-(Plan!$D$13+IF(Plan!$E$13=$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G106" s="18">
        <f>IF(N(G105)&lt;=0,0,MAX(0,G105*(1+Plan!$C$14/12)-(Plan!$D$14+IF(Plan!$E$14=$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H106" s="18">
        <f>IF(N(H105)&lt;=0,0,MAX(0,H105*(1+Plan!$C$15/12)-(Plan!$D$15+IF(Plan!$E$15=$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I106" s="18">
        <f>IF(N(I105)&lt;=0,0,MAX(0,I105*(1+Plan!$C$16/12)-(Plan!$D$16+IF(Plan!$E$16=$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J106" s="18">
        <f>IF(N(J105)&lt;=0,0,MAX(0,J105*(1+Plan!$C$17/12)-(Plan!$D$17+IF(Plan!$E$17=$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K106" s="18">
        <f>IF(N(K105)&lt;=0,0,MAX(0,K105*(1+Plan!$C$18/12)-(Plan!$D$18+IF(Plan!$E$18=$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c r="L106" s="19">
        <f>MIN(IF(N(B105)&gt;0,Plan!$E$9,999),IF(N(C105)&gt;0,Plan!$E$10,999),IF(N(D105)&gt;0,Plan!$E$11,999),IF(N(E105)&gt;0,Plan!$E$12,999),IF(N(F105)&gt;0,Plan!$E$13,999),IF(N(G105)&gt;0,Plan!$E$14,999),IF(N(H105)&gt;0,Plan!$E$15,999),IF(N(I105)&gt;0,Plan!$E$16,999),IF(N(J105)&gt;0,Plan!$E$17,999),IF(N(K105)&gt;0,Plan!$E$18,999))</f>
        <v/>
      </c>
      <c r="M106" s="18">
        <f>IF(N(B105)&lt;=0,0,MIN(B105*(1+Plan!$C$9/12),Plan!$D$9+IF(Plan!$E$9=$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IF(N(C105)&lt;=0,0,MIN(C105*(1+Plan!$C$10/12),Plan!$D$10+IF(Plan!$E$10=$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IF(N(D105)&lt;=0,0,MIN(D105*(1+Plan!$C$11/12),Plan!$D$11+IF(Plan!$E$11=$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IF(N(E105)&lt;=0,0,MIN(E105*(1+Plan!$C$12/12),Plan!$D$12+IF(Plan!$E$12=$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IF(N(F105)&lt;=0,0,MIN(F105*(1+Plan!$C$13/12),Plan!$D$13+IF(Plan!$E$13=$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IF(N(G105)&lt;=0,0,MIN(G105*(1+Plan!$C$14/12),Plan!$D$14+IF(Plan!$E$14=$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IF(N(H105)&lt;=0,0,MIN(H105*(1+Plan!$C$15/12),Plan!$D$15+IF(Plan!$E$15=$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IF(N(I105)&lt;=0,0,MIN(I105*(1+Plan!$C$16/12),Plan!$D$16+IF(Plan!$E$16=$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IF(N(J105)&lt;=0,0,MIN(J105*(1+Plan!$C$17/12),Plan!$D$17+IF(Plan!$E$17=$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IF(N(K105)&lt;=0,0,MIN(K105*(1+Plan!$C$18/12),Plan!$D$18+IF(Plan!$E$18=$L106,Plan!$B$5+IF(AND(N(Plan!$B$9)&gt;0,N(B105)&lt;=0),Plan!$D$9,0)+IF(AND(N(Plan!$B$10)&gt;0,N(C105)&lt;=0),Plan!$D$10,0)+IF(AND(N(Plan!$B$11)&gt;0,N(D105)&lt;=0),Plan!$D$11,0)+IF(AND(N(Plan!$B$12)&gt;0,N(E105)&lt;=0),Plan!$D$12,0)+IF(AND(N(Plan!$B$13)&gt;0,N(F105)&lt;=0),Plan!$D$13,0)+IF(AND(N(Plan!$B$14)&gt;0,N(G105)&lt;=0),Plan!$D$14,0)+IF(AND(N(Plan!$B$15)&gt;0,N(H105)&lt;=0),Plan!$D$15,0)+IF(AND(N(Plan!$B$16)&gt;0,N(I105)&lt;=0),Plan!$D$16,0)+IF(AND(N(Plan!$B$17)&gt;0,N(J105)&lt;=0),Plan!$D$17,0)+IF(AND(N(Plan!$B$18)&gt;0,N(K105)&lt;=0),Plan!$D$18,0),0)))</f>
        <v/>
      </c>
    </row>
    <row r="107">
      <c r="A107" s="17" t="n">
        <v>103</v>
      </c>
      <c r="B107" s="18">
        <f>IF(N(B106)&lt;=0,0,MAX(0,B106*(1+Plan!$C$9/12)-(Plan!$D$9+IF(Plan!$E$9=$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C107" s="18">
        <f>IF(N(C106)&lt;=0,0,MAX(0,C106*(1+Plan!$C$10/12)-(Plan!$D$10+IF(Plan!$E$10=$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D107" s="18">
        <f>IF(N(D106)&lt;=0,0,MAX(0,D106*(1+Plan!$C$11/12)-(Plan!$D$11+IF(Plan!$E$11=$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E107" s="18">
        <f>IF(N(E106)&lt;=0,0,MAX(0,E106*(1+Plan!$C$12/12)-(Plan!$D$12+IF(Plan!$E$12=$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F107" s="18">
        <f>IF(N(F106)&lt;=0,0,MAX(0,F106*(1+Plan!$C$13/12)-(Plan!$D$13+IF(Plan!$E$13=$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G107" s="18">
        <f>IF(N(G106)&lt;=0,0,MAX(0,G106*(1+Plan!$C$14/12)-(Plan!$D$14+IF(Plan!$E$14=$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H107" s="18">
        <f>IF(N(H106)&lt;=0,0,MAX(0,H106*(1+Plan!$C$15/12)-(Plan!$D$15+IF(Plan!$E$15=$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I107" s="18">
        <f>IF(N(I106)&lt;=0,0,MAX(0,I106*(1+Plan!$C$16/12)-(Plan!$D$16+IF(Plan!$E$16=$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J107" s="18">
        <f>IF(N(J106)&lt;=0,0,MAX(0,J106*(1+Plan!$C$17/12)-(Plan!$D$17+IF(Plan!$E$17=$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K107" s="18">
        <f>IF(N(K106)&lt;=0,0,MAX(0,K106*(1+Plan!$C$18/12)-(Plan!$D$18+IF(Plan!$E$18=$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c r="L107" s="19">
        <f>MIN(IF(N(B106)&gt;0,Plan!$E$9,999),IF(N(C106)&gt;0,Plan!$E$10,999),IF(N(D106)&gt;0,Plan!$E$11,999),IF(N(E106)&gt;0,Plan!$E$12,999),IF(N(F106)&gt;0,Plan!$E$13,999),IF(N(G106)&gt;0,Plan!$E$14,999),IF(N(H106)&gt;0,Plan!$E$15,999),IF(N(I106)&gt;0,Plan!$E$16,999),IF(N(J106)&gt;0,Plan!$E$17,999),IF(N(K106)&gt;0,Plan!$E$18,999))</f>
        <v/>
      </c>
      <c r="M107" s="18">
        <f>IF(N(B106)&lt;=0,0,MIN(B106*(1+Plan!$C$9/12),Plan!$D$9+IF(Plan!$E$9=$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IF(N(C106)&lt;=0,0,MIN(C106*(1+Plan!$C$10/12),Plan!$D$10+IF(Plan!$E$10=$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IF(N(D106)&lt;=0,0,MIN(D106*(1+Plan!$C$11/12),Plan!$D$11+IF(Plan!$E$11=$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IF(N(E106)&lt;=0,0,MIN(E106*(1+Plan!$C$12/12),Plan!$D$12+IF(Plan!$E$12=$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IF(N(F106)&lt;=0,0,MIN(F106*(1+Plan!$C$13/12),Plan!$D$13+IF(Plan!$E$13=$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IF(N(G106)&lt;=0,0,MIN(G106*(1+Plan!$C$14/12),Plan!$D$14+IF(Plan!$E$14=$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IF(N(H106)&lt;=0,0,MIN(H106*(1+Plan!$C$15/12),Plan!$D$15+IF(Plan!$E$15=$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IF(N(I106)&lt;=0,0,MIN(I106*(1+Plan!$C$16/12),Plan!$D$16+IF(Plan!$E$16=$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IF(N(J106)&lt;=0,0,MIN(J106*(1+Plan!$C$17/12),Plan!$D$17+IF(Plan!$E$17=$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IF(N(K106)&lt;=0,0,MIN(K106*(1+Plan!$C$18/12),Plan!$D$18+IF(Plan!$E$18=$L107,Plan!$B$5+IF(AND(N(Plan!$B$9)&gt;0,N(B106)&lt;=0),Plan!$D$9,0)+IF(AND(N(Plan!$B$10)&gt;0,N(C106)&lt;=0),Plan!$D$10,0)+IF(AND(N(Plan!$B$11)&gt;0,N(D106)&lt;=0),Plan!$D$11,0)+IF(AND(N(Plan!$B$12)&gt;0,N(E106)&lt;=0),Plan!$D$12,0)+IF(AND(N(Plan!$B$13)&gt;0,N(F106)&lt;=0),Plan!$D$13,0)+IF(AND(N(Plan!$B$14)&gt;0,N(G106)&lt;=0),Plan!$D$14,0)+IF(AND(N(Plan!$B$15)&gt;0,N(H106)&lt;=0),Plan!$D$15,0)+IF(AND(N(Plan!$B$16)&gt;0,N(I106)&lt;=0),Plan!$D$16,0)+IF(AND(N(Plan!$B$17)&gt;0,N(J106)&lt;=0),Plan!$D$17,0)+IF(AND(N(Plan!$B$18)&gt;0,N(K106)&lt;=0),Plan!$D$18,0),0)))</f>
        <v/>
      </c>
    </row>
    <row r="108">
      <c r="A108" s="17" t="n">
        <v>104</v>
      </c>
      <c r="B108" s="18">
        <f>IF(N(B107)&lt;=0,0,MAX(0,B107*(1+Plan!$C$9/12)-(Plan!$D$9+IF(Plan!$E$9=$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C108" s="18">
        <f>IF(N(C107)&lt;=0,0,MAX(0,C107*(1+Plan!$C$10/12)-(Plan!$D$10+IF(Plan!$E$10=$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D108" s="18">
        <f>IF(N(D107)&lt;=0,0,MAX(0,D107*(1+Plan!$C$11/12)-(Plan!$D$11+IF(Plan!$E$11=$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E108" s="18">
        <f>IF(N(E107)&lt;=0,0,MAX(0,E107*(1+Plan!$C$12/12)-(Plan!$D$12+IF(Plan!$E$12=$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F108" s="18">
        <f>IF(N(F107)&lt;=0,0,MAX(0,F107*(1+Plan!$C$13/12)-(Plan!$D$13+IF(Plan!$E$13=$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G108" s="18">
        <f>IF(N(G107)&lt;=0,0,MAX(0,G107*(1+Plan!$C$14/12)-(Plan!$D$14+IF(Plan!$E$14=$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H108" s="18">
        <f>IF(N(H107)&lt;=0,0,MAX(0,H107*(1+Plan!$C$15/12)-(Plan!$D$15+IF(Plan!$E$15=$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I108" s="18">
        <f>IF(N(I107)&lt;=0,0,MAX(0,I107*(1+Plan!$C$16/12)-(Plan!$D$16+IF(Plan!$E$16=$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J108" s="18">
        <f>IF(N(J107)&lt;=0,0,MAX(0,J107*(1+Plan!$C$17/12)-(Plan!$D$17+IF(Plan!$E$17=$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K108" s="18">
        <f>IF(N(K107)&lt;=0,0,MAX(0,K107*(1+Plan!$C$18/12)-(Plan!$D$18+IF(Plan!$E$18=$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c r="L108" s="19">
        <f>MIN(IF(N(B107)&gt;0,Plan!$E$9,999),IF(N(C107)&gt;0,Plan!$E$10,999),IF(N(D107)&gt;0,Plan!$E$11,999),IF(N(E107)&gt;0,Plan!$E$12,999),IF(N(F107)&gt;0,Plan!$E$13,999),IF(N(G107)&gt;0,Plan!$E$14,999),IF(N(H107)&gt;0,Plan!$E$15,999),IF(N(I107)&gt;0,Plan!$E$16,999),IF(N(J107)&gt;0,Plan!$E$17,999),IF(N(K107)&gt;0,Plan!$E$18,999))</f>
        <v/>
      </c>
      <c r="M108" s="18">
        <f>IF(N(B107)&lt;=0,0,MIN(B107*(1+Plan!$C$9/12),Plan!$D$9+IF(Plan!$E$9=$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IF(N(C107)&lt;=0,0,MIN(C107*(1+Plan!$C$10/12),Plan!$D$10+IF(Plan!$E$10=$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IF(N(D107)&lt;=0,0,MIN(D107*(1+Plan!$C$11/12),Plan!$D$11+IF(Plan!$E$11=$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IF(N(E107)&lt;=0,0,MIN(E107*(1+Plan!$C$12/12),Plan!$D$12+IF(Plan!$E$12=$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IF(N(F107)&lt;=0,0,MIN(F107*(1+Plan!$C$13/12),Plan!$D$13+IF(Plan!$E$13=$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IF(N(G107)&lt;=0,0,MIN(G107*(1+Plan!$C$14/12),Plan!$D$14+IF(Plan!$E$14=$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IF(N(H107)&lt;=0,0,MIN(H107*(1+Plan!$C$15/12),Plan!$D$15+IF(Plan!$E$15=$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IF(N(I107)&lt;=0,0,MIN(I107*(1+Plan!$C$16/12),Plan!$D$16+IF(Plan!$E$16=$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IF(N(J107)&lt;=0,0,MIN(J107*(1+Plan!$C$17/12),Plan!$D$17+IF(Plan!$E$17=$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IF(N(K107)&lt;=0,0,MIN(K107*(1+Plan!$C$18/12),Plan!$D$18+IF(Plan!$E$18=$L108,Plan!$B$5+IF(AND(N(Plan!$B$9)&gt;0,N(B107)&lt;=0),Plan!$D$9,0)+IF(AND(N(Plan!$B$10)&gt;0,N(C107)&lt;=0),Plan!$D$10,0)+IF(AND(N(Plan!$B$11)&gt;0,N(D107)&lt;=0),Plan!$D$11,0)+IF(AND(N(Plan!$B$12)&gt;0,N(E107)&lt;=0),Plan!$D$12,0)+IF(AND(N(Plan!$B$13)&gt;0,N(F107)&lt;=0),Plan!$D$13,0)+IF(AND(N(Plan!$B$14)&gt;0,N(G107)&lt;=0),Plan!$D$14,0)+IF(AND(N(Plan!$B$15)&gt;0,N(H107)&lt;=0),Plan!$D$15,0)+IF(AND(N(Plan!$B$16)&gt;0,N(I107)&lt;=0),Plan!$D$16,0)+IF(AND(N(Plan!$B$17)&gt;0,N(J107)&lt;=0),Plan!$D$17,0)+IF(AND(N(Plan!$B$18)&gt;0,N(K107)&lt;=0),Plan!$D$18,0),0)))</f>
        <v/>
      </c>
    </row>
    <row r="109">
      <c r="A109" s="17" t="n">
        <v>105</v>
      </c>
      <c r="B109" s="18">
        <f>IF(N(B108)&lt;=0,0,MAX(0,B108*(1+Plan!$C$9/12)-(Plan!$D$9+IF(Plan!$E$9=$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C109" s="18">
        <f>IF(N(C108)&lt;=0,0,MAX(0,C108*(1+Plan!$C$10/12)-(Plan!$D$10+IF(Plan!$E$10=$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D109" s="18">
        <f>IF(N(D108)&lt;=0,0,MAX(0,D108*(1+Plan!$C$11/12)-(Plan!$D$11+IF(Plan!$E$11=$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E109" s="18">
        <f>IF(N(E108)&lt;=0,0,MAX(0,E108*(1+Plan!$C$12/12)-(Plan!$D$12+IF(Plan!$E$12=$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F109" s="18">
        <f>IF(N(F108)&lt;=0,0,MAX(0,F108*(1+Plan!$C$13/12)-(Plan!$D$13+IF(Plan!$E$13=$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G109" s="18">
        <f>IF(N(G108)&lt;=0,0,MAX(0,G108*(1+Plan!$C$14/12)-(Plan!$D$14+IF(Plan!$E$14=$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H109" s="18">
        <f>IF(N(H108)&lt;=0,0,MAX(0,H108*(1+Plan!$C$15/12)-(Plan!$D$15+IF(Plan!$E$15=$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I109" s="18">
        <f>IF(N(I108)&lt;=0,0,MAX(0,I108*(1+Plan!$C$16/12)-(Plan!$D$16+IF(Plan!$E$16=$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J109" s="18">
        <f>IF(N(J108)&lt;=0,0,MAX(0,J108*(1+Plan!$C$17/12)-(Plan!$D$17+IF(Plan!$E$17=$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K109" s="18">
        <f>IF(N(K108)&lt;=0,0,MAX(0,K108*(1+Plan!$C$18/12)-(Plan!$D$18+IF(Plan!$E$18=$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c r="L109" s="19">
        <f>MIN(IF(N(B108)&gt;0,Plan!$E$9,999),IF(N(C108)&gt;0,Plan!$E$10,999),IF(N(D108)&gt;0,Plan!$E$11,999),IF(N(E108)&gt;0,Plan!$E$12,999),IF(N(F108)&gt;0,Plan!$E$13,999),IF(N(G108)&gt;0,Plan!$E$14,999),IF(N(H108)&gt;0,Plan!$E$15,999),IF(N(I108)&gt;0,Plan!$E$16,999),IF(N(J108)&gt;0,Plan!$E$17,999),IF(N(K108)&gt;0,Plan!$E$18,999))</f>
        <v/>
      </c>
      <c r="M109" s="18">
        <f>IF(N(B108)&lt;=0,0,MIN(B108*(1+Plan!$C$9/12),Plan!$D$9+IF(Plan!$E$9=$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IF(N(C108)&lt;=0,0,MIN(C108*(1+Plan!$C$10/12),Plan!$D$10+IF(Plan!$E$10=$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IF(N(D108)&lt;=0,0,MIN(D108*(1+Plan!$C$11/12),Plan!$D$11+IF(Plan!$E$11=$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IF(N(E108)&lt;=0,0,MIN(E108*(1+Plan!$C$12/12),Plan!$D$12+IF(Plan!$E$12=$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IF(N(F108)&lt;=0,0,MIN(F108*(1+Plan!$C$13/12),Plan!$D$13+IF(Plan!$E$13=$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IF(N(G108)&lt;=0,0,MIN(G108*(1+Plan!$C$14/12),Plan!$D$14+IF(Plan!$E$14=$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IF(N(H108)&lt;=0,0,MIN(H108*(1+Plan!$C$15/12),Plan!$D$15+IF(Plan!$E$15=$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IF(N(I108)&lt;=0,0,MIN(I108*(1+Plan!$C$16/12),Plan!$D$16+IF(Plan!$E$16=$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IF(N(J108)&lt;=0,0,MIN(J108*(1+Plan!$C$17/12),Plan!$D$17+IF(Plan!$E$17=$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IF(N(K108)&lt;=0,0,MIN(K108*(1+Plan!$C$18/12),Plan!$D$18+IF(Plan!$E$18=$L109,Plan!$B$5+IF(AND(N(Plan!$B$9)&gt;0,N(B108)&lt;=0),Plan!$D$9,0)+IF(AND(N(Plan!$B$10)&gt;0,N(C108)&lt;=0),Plan!$D$10,0)+IF(AND(N(Plan!$B$11)&gt;0,N(D108)&lt;=0),Plan!$D$11,0)+IF(AND(N(Plan!$B$12)&gt;0,N(E108)&lt;=0),Plan!$D$12,0)+IF(AND(N(Plan!$B$13)&gt;0,N(F108)&lt;=0),Plan!$D$13,0)+IF(AND(N(Plan!$B$14)&gt;0,N(G108)&lt;=0),Plan!$D$14,0)+IF(AND(N(Plan!$B$15)&gt;0,N(H108)&lt;=0),Plan!$D$15,0)+IF(AND(N(Plan!$B$16)&gt;0,N(I108)&lt;=0),Plan!$D$16,0)+IF(AND(N(Plan!$B$17)&gt;0,N(J108)&lt;=0),Plan!$D$17,0)+IF(AND(N(Plan!$B$18)&gt;0,N(K108)&lt;=0),Plan!$D$18,0),0)))</f>
        <v/>
      </c>
    </row>
    <row r="110">
      <c r="A110" s="17" t="n">
        <v>106</v>
      </c>
      <c r="B110" s="18">
        <f>IF(N(B109)&lt;=0,0,MAX(0,B109*(1+Plan!$C$9/12)-(Plan!$D$9+IF(Plan!$E$9=$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C110" s="18">
        <f>IF(N(C109)&lt;=0,0,MAX(0,C109*(1+Plan!$C$10/12)-(Plan!$D$10+IF(Plan!$E$10=$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D110" s="18">
        <f>IF(N(D109)&lt;=0,0,MAX(0,D109*(1+Plan!$C$11/12)-(Plan!$D$11+IF(Plan!$E$11=$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E110" s="18">
        <f>IF(N(E109)&lt;=0,0,MAX(0,E109*(1+Plan!$C$12/12)-(Plan!$D$12+IF(Plan!$E$12=$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F110" s="18">
        <f>IF(N(F109)&lt;=0,0,MAX(0,F109*(1+Plan!$C$13/12)-(Plan!$D$13+IF(Plan!$E$13=$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G110" s="18">
        <f>IF(N(G109)&lt;=0,0,MAX(0,G109*(1+Plan!$C$14/12)-(Plan!$D$14+IF(Plan!$E$14=$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H110" s="18">
        <f>IF(N(H109)&lt;=0,0,MAX(0,H109*(1+Plan!$C$15/12)-(Plan!$D$15+IF(Plan!$E$15=$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I110" s="18">
        <f>IF(N(I109)&lt;=0,0,MAX(0,I109*(1+Plan!$C$16/12)-(Plan!$D$16+IF(Plan!$E$16=$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J110" s="18">
        <f>IF(N(J109)&lt;=0,0,MAX(0,J109*(1+Plan!$C$17/12)-(Plan!$D$17+IF(Plan!$E$17=$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K110" s="18">
        <f>IF(N(K109)&lt;=0,0,MAX(0,K109*(1+Plan!$C$18/12)-(Plan!$D$18+IF(Plan!$E$18=$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c r="L110" s="19">
        <f>MIN(IF(N(B109)&gt;0,Plan!$E$9,999),IF(N(C109)&gt;0,Plan!$E$10,999),IF(N(D109)&gt;0,Plan!$E$11,999),IF(N(E109)&gt;0,Plan!$E$12,999),IF(N(F109)&gt;0,Plan!$E$13,999),IF(N(G109)&gt;0,Plan!$E$14,999),IF(N(H109)&gt;0,Plan!$E$15,999),IF(N(I109)&gt;0,Plan!$E$16,999),IF(N(J109)&gt;0,Plan!$E$17,999),IF(N(K109)&gt;0,Plan!$E$18,999))</f>
        <v/>
      </c>
      <c r="M110" s="18">
        <f>IF(N(B109)&lt;=0,0,MIN(B109*(1+Plan!$C$9/12),Plan!$D$9+IF(Plan!$E$9=$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IF(N(C109)&lt;=0,0,MIN(C109*(1+Plan!$C$10/12),Plan!$D$10+IF(Plan!$E$10=$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IF(N(D109)&lt;=0,0,MIN(D109*(1+Plan!$C$11/12),Plan!$D$11+IF(Plan!$E$11=$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IF(N(E109)&lt;=0,0,MIN(E109*(1+Plan!$C$12/12),Plan!$D$12+IF(Plan!$E$12=$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IF(N(F109)&lt;=0,0,MIN(F109*(1+Plan!$C$13/12),Plan!$D$13+IF(Plan!$E$13=$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IF(N(G109)&lt;=0,0,MIN(G109*(1+Plan!$C$14/12),Plan!$D$14+IF(Plan!$E$14=$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IF(N(H109)&lt;=0,0,MIN(H109*(1+Plan!$C$15/12),Plan!$D$15+IF(Plan!$E$15=$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IF(N(I109)&lt;=0,0,MIN(I109*(1+Plan!$C$16/12),Plan!$D$16+IF(Plan!$E$16=$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IF(N(J109)&lt;=0,0,MIN(J109*(1+Plan!$C$17/12),Plan!$D$17+IF(Plan!$E$17=$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IF(N(K109)&lt;=0,0,MIN(K109*(1+Plan!$C$18/12),Plan!$D$18+IF(Plan!$E$18=$L110,Plan!$B$5+IF(AND(N(Plan!$B$9)&gt;0,N(B109)&lt;=0),Plan!$D$9,0)+IF(AND(N(Plan!$B$10)&gt;0,N(C109)&lt;=0),Plan!$D$10,0)+IF(AND(N(Plan!$B$11)&gt;0,N(D109)&lt;=0),Plan!$D$11,0)+IF(AND(N(Plan!$B$12)&gt;0,N(E109)&lt;=0),Plan!$D$12,0)+IF(AND(N(Plan!$B$13)&gt;0,N(F109)&lt;=0),Plan!$D$13,0)+IF(AND(N(Plan!$B$14)&gt;0,N(G109)&lt;=0),Plan!$D$14,0)+IF(AND(N(Plan!$B$15)&gt;0,N(H109)&lt;=0),Plan!$D$15,0)+IF(AND(N(Plan!$B$16)&gt;0,N(I109)&lt;=0),Plan!$D$16,0)+IF(AND(N(Plan!$B$17)&gt;0,N(J109)&lt;=0),Plan!$D$17,0)+IF(AND(N(Plan!$B$18)&gt;0,N(K109)&lt;=0),Plan!$D$18,0),0)))</f>
        <v/>
      </c>
    </row>
    <row r="111">
      <c r="A111" s="17" t="n">
        <v>107</v>
      </c>
      <c r="B111" s="18">
        <f>IF(N(B110)&lt;=0,0,MAX(0,B110*(1+Plan!$C$9/12)-(Plan!$D$9+IF(Plan!$E$9=$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C111" s="18">
        <f>IF(N(C110)&lt;=0,0,MAX(0,C110*(1+Plan!$C$10/12)-(Plan!$D$10+IF(Plan!$E$10=$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D111" s="18">
        <f>IF(N(D110)&lt;=0,0,MAX(0,D110*(1+Plan!$C$11/12)-(Plan!$D$11+IF(Plan!$E$11=$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E111" s="18">
        <f>IF(N(E110)&lt;=0,0,MAX(0,E110*(1+Plan!$C$12/12)-(Plan!$D$12+IF(Plan!$E$12=$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F111" s="18">
        <f>IF(N(F110)&lt;=0,0,MAX(0,F110*(1+Plan!$C$13/12)-(Plan!$D$13+IF(Plan!$E$13=$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G111" s="18">
        <f>IF(N(G110)&lt;=0,0,MAX(0,G110*(1+Plan!$C$14/12)-(Plan!$D$14+IF(Plan!$E$14=$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H111" s="18">
        <f>IF(N(H110)&lt;=0,0,MAX(0,H110*(1+Plan!$C$15/12)-(Plan!$D$15+IF(Plan!$E$15=$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I111" s="18">
        <f>IF(N(I110)&lt;=0,0,MAX(0,I110*(1+Plan!$C$16/12)-(Plan!$D$16+IF(Plan!$E$16=$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J111" s="18">
        <f>IF(N(J110)&lt;=0,0,MAX(0,J110*(1+Plan!$C$17/12)-(Plan!$D$17+IF(Plan!$E$17=$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K111" s="18">
        <f>IF(N(K110)&lt;=0,0,MAX(0,K110*(1+Plan!$C$18/12)-(Plan!$D$18+IF(Plan!$E$18=$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c r="L111" s="19">
        <f>MIN(IF(N(B110)&gt;0,Plan!$E$9,999),IF(N(C110)&gt;0,Plan!$E$10,999),IF(N(D110)&gt;0,Plan!$E$11,999),IF(N(E110)&gt;0,Plan!$E$12,999),IF(N(F110)&gt;0,Plan!$E$13,999),IF(N(G110)&gt;0,Plan!$E$14,999),IF(N(H110)&gt;0,Plan!$E$15,999),IF(N(I110)&gt;0,Plan!$E$16,999),IF(N(J110)&gt;0,Plan!$E$17,999),IF(N(K110)&gt;0,Plan!$E$18,999))</f>
        <v/>
      </c>
      <c r="M111" s="18">
        <f>IF(N(B110)&lt;=0,0,MIN(B110*(1+Plan!$C$9/12),Plan!$D$9+IF(Plan!$E$9=$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IF(N(C110)&lt;=0,0,MIN(C110*(1+Plan!$C$10/12),Plan!$D$10+IF(Plan!$E$10=$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IF(N(D110)&lt;=0,0,MIN(D110*(1+Plan!$C$11/12),Plan!$D$11+IF(Plan!$E$11=$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IF(N(E110)&lt;=0,0,MIN(E110*(1+Plan!$C$12/12),Plan!$D$12+IF(Plan!$E$12=$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IF(N(F110)&lt;=0,0,MIN(F110*(1+Plan!$C$13/12),Plan!$D$13+IF(Plan!$E$13=$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IF(N(G110)&lt;=0,0,MIN(G110*(1+Plan!$C$14/12),Plan!$D$14+IF(Plan!$E$14=$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IF(N(H110)&lt;=0,0,MIN(H110*(1+Plan!$C$15/12),Plan!$D$15+IF(Plan!$E$15=$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IF(N(I110)&lt;=0,0,MIN(I110*(1+Plan!$C$16/12),Plan!$D$16+IF(Plan!$E$16=$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IF(N(J110)&lt;=0,0,MIN(J110*(1+Plan!$C$17/12),Plan!$D$17+IF(Plan!$E$17=$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IF(N(K110)&lt;=0,0,MIN(K110*(1+Plan!$C$18/12),Plan!$D$18+IF(Plan!$E$18=$L111,Plan!$B$5+IF(AND(N(Plan!$B$9)&gt;0,N(B110)&lt;=0),Plan!$D$9,0)+IF(AND(N(Plan!$B$10)&gt;0,N(C110)&lt;=0),Plan!$D$10,0)+IF(AND(N(Plan!$B$11)&gt;0,N(D110)&lt;=0),Plan!$D$11,0)+IF(AND(N(Plan!$B$12)&gt;0,N(E110)&lt;=0),Plan!$D$12,0)+IF(AND(N(Plan!$B$13)&gt;0,N(F110)&lt;=0),Plan!$D$13,0)+IF(AND(N(Plan!$B$14)&gt;0,N(G110)&lt;=0),Plan!$D$14,0)+IF(AND(N(Plan!$B$15)&gt;0,N(H110)&lt;=0),Plan!$D$15,0)+IF(AND(N(Plan!$B$16)&gt;0,N(I110)&lt;=0),Plan!$D$16,0)+IF(AND(N(Plan!$B$17)&gt;0,N(J110)&lt;=0),Plan!$D$17,0)+IF(AND(N(Plan!$B$18)&gt;0,N(K110)&lt;=0),Plan!$D$18,0),0)))</f>
        <v/>
      </c>
    </row>
    <row r="112">
      <c r="A112" s="17" t="n">
        <v>108</v>
      </c>
      <c r="B112" s="18">
        <f>IF(N(B111)&lt;=0,0,MAX(0,B111*(1+Plan!$C$9/12)-(Plan!$D$9+IF(Plan!$E$9=$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C112" s="18">
        <f>IF(N(C111)&lt;=0,0,MAX(0,C111*(1+Plan!$C$10/12)-(Plan!$D$10+IF(Plan!$E$10=$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D112" s="18">
        <f>IF(N(D111)&lt;=0,0,MAX(0,D111*(1+Plan!$C$11/12)-(Plan!$D$11+IF(Plan!$E$11=$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E112" s="18">
        <f>IF(N(E111)&lt;=0,0,MAX(0,E111*(1+Plan!$C$12/12)-(Plan!$D$12+IF(Plan!$E$12=$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F112" s="18">
        <f>IF(N(F111)&lt;=0,0,MAX(0,F111*(1+Plan!$C$13/12)-(Plan!$D$13+IF(Plan!$E$13=$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G112" s="18">
        <f>IF(N(G111)&lt;=0,0,MAX(0,G111*(1+Plan!$C$14/12)-(Plan!$D$14+IF(Plan!$E$14=$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H112" s="18">
        <f>IF(N(H111)&lt;=0,0,MAX(0,H111*(1+Plan!$C$15/12)-(Plan!$D$15+IF(Plan!$E$15=$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I112" s="18">
        <f>IF(N(I111)&lt;=0,0,MAX(0,I111*(1+Plan!$C$16/12)-(Plan!$D$16+IF(Plan!$E$16=$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J112" s="18">
        <f>IF(N(J111)&lt;=0,0,MAX(0,J111*(1+Plan!$C$17/12)-(Plan!$D$17+IF(Plan!$E$17=$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K112" s="18">
        <f>IF(N(K111)&lt;=0,0,MAX(0,K111*(1+Plan!$C$18/12)-(Plan!$D$18+IF(Plan!$E$18=$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c r="L112" s="19">
        <f>MIN(IF(N(B111)&gt;0,Plan!$E$9,999),IF(N(C111)&gt;0,Plan!$E$10,999),IF(N(D111)&gt;0,Plan!$E$11,999),IF(N(E111)&gt;0,Plan!$E$12,999),IF(N(F111)&gt;0,Plan!$E$13,999),IF(N(G111)&gt;0,Plan!$E$14,999),IF(N(H111)&gt;0,Plan!$E$15,999),IF(N(I111)&gt;0,Plan!$E$16,999),IF(N(J111)&gt;0,Plan!$E$17,999),IF(N(K111)&gt;0,Plan!$E$18,999))</f>
        <v/>
      </c>
      <c r="M112" s="18">
        <f>IF(N(B111)&lt;=0,0,MIN(B111*(1+Plan!$C$9/12),Plan!$D$9+IF(Plan!$E$9=$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IF(N(C111)&lt;=0,0,MIN(C111*(1+Plan!$C$10/12),Plan!$D$10+IF(Plan!$E$10=$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IF(N(D111)&lt;=0,0,MIN(D111*(1+Plan!$C$11/12),Plan!$D$11+IF(Plan!$E$11=$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IF(N(E111)&lt;=0,0,MIN(E111*(1+Plan!$C$12/12),Plan!$D$12+IF(Plan!$E$12=$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IF(N(F111)&lt;=0,0,MIN(F111*(1+Plan!$C$13/12),Plan!$D$13+IF(Plan!$E$13=$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IF(N(G111)&lt;=0,0,MIN(G111*(1+Plan!$C$14/12),Plan!$D$14+IF(Plan!$E$14=$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IF(N(H111)&lt;=0,0,MIN(H111*(1+Plan!$C$15/12),Plan!$D$15+IF(Plan!$E$15=$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IF(N(I111)&lt;=0,0,MIN(I111*(1+Plan!$C$16/12),Plan!$D$16+IF(Plan!$E$16=$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IF(N(J111)&lt;=0,0,MIN(J111*(1+Plan!$C$17/12),Plan!$D$17+IF(Plan!$E$17=$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IF(N(K111)&lt;=0,0,MIN(K111*(1+Plan!$C$18/12),Plan!$D$18+IF(Plan!$E$18=$L112,Plan!$B$5+IF(AND(N(Plan!$B$9)&gt;0,N(B111)&lt;=0),Plan!$D$9,0)+IF(AND(N(Plan!$B$10)&gt;0,N(C111)&lt;=0),Plan!$D$10,0)+IF(AND(N(Plan!$B$11)&gt;0,N(D111)&lt;=0),Plan!$D$11,0)+IF(AND(N(Plan!$B$12)&gt;0,N(E111)&lt;=0),Plan!$D$12,0)+IF(AND(N(Plan!$B$13)&gt;0,N(F111)&lt;=0),Plan!$D$13,0)+IF(AND(N(Plan!$B$14)&gt;0,N(G111)&lt;=0),Plan!$D$14,0)+IF(AND(N(Plan!$B$15)&gt;0,N(H111)&lt;=0),Plan!$D$15,0)+IF(AND(N(Plan!$B$16)&gt;0,N(I111)&lt;=0),Plan!$D$16,0)+IF(AND(N(Plan!$B$17)&gt;0,N(J111)&lt;=0),Plan!$D$17,0)+IF(AND(N(Plan!$B$18)&gt;0,N(K111)&lt;=0),Plan!$D$18,0),0)))</f>
        <v/>
      </c>
    </row>
    <row r="113">
      <c r="A113" s="17" t="n">
        <v>109</v>
      </c>
      <c r="B113" s="18">
        <f>IF(N(B112)&lt;=0,0,MAX(0,B112*(1+Plan!$C$9/12)-(Plan!$D$9+IF(Plan!$E$9=$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C113" s="18">
        <f>IF(N(C112)&lt;=0,0,MAX(0,C112*(1+Plan!$C$10/12)-(Plan!$D$10+IF(Plan!$E$10=$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D113" s="18">
        <f>IF(N(D112)&lt;=0,0,MAX(0,D112*(1+Plan!$C$11/12)-(Plan!$D$11+IF(Plan!$E$11=$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E113" s="18">
        <f>IF(N(E112)&lt;=0,0,MAX(0,E112*(1+Plan!$C$12/12)-(Plan!$D$12+IF(Plan!$E$12=$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F113" s="18">
        <f>IF(N(F112)&lt;=0,0,MAX(0,F112*(1+Plan!$C$13/12)-(Plan!$D$13+IF(Plan!$E$13=$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G113" s="18">
        <f>IF(N(G112)&lt;=0,0,MAX(0,G112*(1+Plan!$C$14/12)-(Plan!$D$14+IF(Plan!$E$14=$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H113" s="18">
        <f>IF(N(H112)&lt;=0,0,MAX(0,H112*(1+Plan!$C$15/12)-(Plan!$D$15+IF(Plan!$E$15=$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I113" s="18">
        <f>IF(N(I112)&lt;=0,0,MAX(0,I112*(1+Plan!$C$16/12)-(Plan!$D$16+IF(Plan!$E$16=$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J113" s="18">
        <f>IF(N(J112)&lt;=0,0,MAX(0,J112*(1+Plan!$C$17/12)-(Plan!$D$17+IF(Plan!$E$17=$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K113" s="18">
        <f>IF(N(K112)&lt;=0,0,MAX(0,K112*(1+Plan!$C$18/12)-(Plan!$D$18+IF(Plan!$E$18=$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c r="L113" s="19">
        <f>MIN(IF(N(B112)&gt;0,Plan!$E$9,999),IF(N(C112)&gt;0,Plan!$E$10,999),IF(N(D112)&gt;0,Plan!$E$11,999),IF(N(E112)&gt;0,Plan!$E$12,999),IF(N(F112)&gt;0,Plan!$E$13,999),IF(N(G112)&gt;0,Plan!$E$14,999),IF(N(H112)&gt;0,Plan!$E$15,999),IF(N(I112)&gt;0,Plan!$E$16,999),IF(N(J112)&gt;0,Plan!$E$17,999),IF(N(K112)&gt;0,Plan!$E$18,999))</f>
        <v/>
      </c>
      <c r="M113" s="18">
        <f>IF(N(B112)&lt;=0,0,MIN(B112*(1+Plan!$C$9/12),Plan!$D$9+IF(Plan!$E$9=$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IF(N(C112)&lt;=0,0,MIN(C112*(1+Plan!$C$10/12),Plan!$D$10+IF(Plan!$E$10=$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IF(N(D112)&lt;=0,0,MIN(D112*(1+Plan!$C$11/12),Plan!$D$11+IF(Plan!$E$11=$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IF(N(E112)&lt;=0,0,MIN(E112*(1+Plan!$C$12/12),Plan!$D$12+IF(Plan!$E$12=$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IF(N(F112)&lt;=0,0,MIN(F112*(1+Plan!$C$13/12),Plan!$D$13+IF(Plan!$E$13=$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IF(N(G112)&lt;=0,0,MIN(G112*(1+Plan!$C$14/12),Plan!$D$14+IF(Plan!$E$14=$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IF(N(H112)&lt;=0,0,MIN(H112*(1+Plan!$C$15/12),Plan!$D$15+IF(Plan!$E$15=$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IF(N(I112)&lt;=0,0,MIN(I112*(1+Plan!$C$16/12),Plan!$D$16+IF(Plan!$E$16=$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IF(N(J112)&lt;=0,0,MIN(J112*(1+Plan!$C$17/12),Plan!$D$17+IF(Plan!$E$17=$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IF(N(K112)&lt;=0,0,MIN(K112*(1+Plan!$C$18/12),Plan!$D$18+IF(Plan!$E$18=$L113,Plan!$B$5+IF(AND(N(Plan!$B$9)&gt;0,N(B112)&lt;=0),Plan!$D$9,0)+IF(AND(N(Plan!$B$10)&gt;0,N(C112)&lt;=0),Plan!$D$10,0)+IF(AND(N(Plan!$B$11)&gt;0,N(D112)&lt;=0),Plan!$D$11,0)+IF(AND(N(Plan!$B$12)&gt;0,N(E112)&lt;=0),Plan!$D$12,0)+IF(AND(N(Plan!$B$13)&gt;0,N(F112)&lt;=0),Plan!$D$13,0)+IF(AND(N(Plan!$B$14)&gt;0,N(G112)&lt;=0),Plan!$D$14,0)+IF(AND(N(Plan!$B$15)&gt;0,N(H112)&lt;=0),Plan!$D$15,0)+IF(AND(N(Plan!$B$16)&gt;0,N(I112)&lt;=0),Plan!$D$16,0)+IF(AND(N(Plan!$B$17)&gt;0,N(J112)&lt;=0),Plan!$D$17,0)+IF(AND(N(Plan!$B$18)&gt;0,N(K112)&lt;=0),Plan!$D$18,0),0)))</f>
        <v/>
      </c>
    </row>
    <row r="114">
      <c r="A114" s="17" t="n">
        <v>110</v>
      </c>
      <c r="B114" s="18">
        <f>IF(N(B113)&lt;=0,0,MAX(0,B113*(1+Plan!$C$9/12)-(Plan!$D$9+IF(Plan!$E$9=$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C114" s="18">
        <f>IF(N(C113)&lt;=0,0,MAX(0,C113*(1+Plan!$C$10/12)-(Plan!$D$10+IF(Plan!$E$10=$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D114" s="18">
        <f>IF(N(D113)&lt;=0,0,MAX(0,D113*(1+Plan!$C$11/12)-(Plan!$D$11+IF(Plan!$E$11=$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E114" s="18">
        <f>IF(N(E113)&lt;=0,0,MAX(0,E113*(1+Plan!$C$12/12)-(Plan!$D$12+IF(Plan!$E$12=$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F114" s="18">
        <f>IF(N(F113)&lt;=0,0,MAX(0,F113*(1+Plan!$C$13/12)-(Plan!$D$13+IF(Plan!$E$13=$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G114" s="18">
        <f>IF(N(G113)&lt;=0,0,MAX(0,G113*(1+Plan!$C$14/12)-(Plan!$D$14+IF(Plan!$E$14=$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H114" s="18">
        <f>IF(N(H113)&lt;=0,0,MAX(0,H113*(1+Plan!$C$15/12)-(Plan!$D$15+IF(Plan!$E$15=$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I114" s="18">
        <f>IF(N(I113)&lt;=0,0,MAX(0,I113*(1+Plan!$C$16/12)-(Plan!$D$16+IF(Plan!$E$16=$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J114" s="18">
        <f>IF(N(J113)&lt;=0,0,MAX(0,J113*(1+Plan!$C$17/12)-(Plan!$D$17+IF(Plan!$E$17=$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K114" s="18">
        <f>IF(N(K113)&lt;=0,0,MAX(0,K113*(1+Plan!$C$18/12)-(Plan!$D$18+IF(Plan!$E$18=$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c r="L114" s="19">
        <f>MIN(IF(N(B113)&gt;0,Plan!$E$9,999),IF(N(C113)&gt;0,Plan!$E$10,999),IF(N(D113)&gt;0,Plan!$E$11,999),IF(N(E113)&gt;0,Plan!$E$12,999),IF(N(F113)&gt;0,Plan!$E$13,999),IF(N(G113)&gt;0,Plan!$E$14,999),IF(N(H113)&gt;0,Plan!$E$15,999),IF(N(I113)&gt;0,Plan!$E$16,999),IF(N(J113)&gt;0,Plan!$E$17,999),IF(N(K113)&gt;0,Plan!$E$18,999))</f>
        <v/>
      </c>
      <c r="M114" s="18">
        <f>IF(N(B113)&lt;=0,0,MIN(B113*(1+Plan!$C$9/12),Plan!$D$9+IF(Plan!$E$9=$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IF(N(C113)&lt;=0,0,MIN(C113*(1+Plan!$C$10/12),Plan!$D$10+IF(Plan!$E$10=$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IF(N(D113)&lt;=0,0,MIN(D113*(1+Plan!$C$11/12),Plan!$D$11+IF(Plan!$E$11=$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IF(N(E113)&lt;=0,0,MIN(E113*(1+Plan!$C$12/12),Plan!$D$12+IF(Plan!$E$12=$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IF(N(F113)&lt;=0,0,MIN(F113*(1+Plan!$C$13/12),Plan!$D$13+IF(Plan!$E$13=$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IF(N(G113)&lt;=0,0,MIN(G113*(1+Plan!$C$14/12),Plan!$D$14+IF(Plan!$E$14=$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IF(N(H113)&lt;=0,0,MIN(H113*(1+Plan!$C$15/12),Plan!$D$15+IF(Plan!$E$15=$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IF(N(I113)&lt;=0,0,MIN(I113*(1+Plan!$C$16/12),Plan!$D$16+IF(Plan!$E$16=$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IF(N(J113)&lt;=0,0,MIN(J113*(1+Plan!$C$17/12),Plan!$D$17+IF(Plan!$E$17=$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IF(N(K113)&lt;=0,0,MIN(K113*(1+Plan!$C$18/12),Plan!$D$18+IF(Plan!$E$18=$L114,Plan!$B$5+IF(AND(N(Plan!$B$9)&gt;0,N(B113)&lt;=0),Plan!$D$9,0)+IF(AND(N(Plan!$B$10)&gt;0,N(C113)&lt;=0),Plan!$D$10,0)+IF(AND(N(Plan!$B$11)&gt;0,N(D113)&lt;=0),Plan!$D$11,0)+IF(AND(N(Plan!$B$12)&gt;0,N(E113)&lt;=0),Plan!$D$12,0)+IF(AND(N(Plan!$B$13)&gt;0,N(F113)&lt;=0),Plan!$D$13,0)+IF(AND(N(Plan!$B$14)&gt;0,N(G113)&lt;=0),Plan!$D$14,0)+IF(AND(N(Plan!$B$15)&gt;0,N(H113)&lt;=0),Plan!$D$15,0)+IF(AND(N(Plan!$B$16)&gt;0,N(I113)&lt;=0),Plan!$D$16,0)+IF(AND(N(Plan!$B$17)&gt;0,N(J113)&lt;=0),Plan!$D$17,0)+IF(AND(N(Plan!$B$18)&gt;0,N(K113)&lt;=0),Plan!$D$18,0),0)))</f>
        <v/>
      </c>
    </row>
    <row r="115">
      <c r="A115" s="17" t="n">
        <v>111</v>
      </c>
      <c r="B115" s="18">
        <f>IF(N(B114)&lt;=0,0,MAX(0,B114*(1+Plan!$C$9/12)-(Plan!$D$9+IF(Plan!$E$9=$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C115" s="18">
        <f>IF(N(C114)&lt;=0,0,MAX(0,C114*(1+Plan!$C$10/12)-(Plan!$D$10+IF(Plan!$E$10=$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D115" s="18">
        <f>IF(N(D114)&lt;=0,0,MAX(0,D114*(1+Plan!$C$11/12)-(Plan!$D$11+IF(Plan!$E$11=$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E115" s="18">
        <f>IF(N(E114)&lt;=0,0,MAX(0,E114*(1+Plan!$C$12/12)-(Plan!$D$12+IF(Plan!$E$12=$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F115" s="18">
        <f>IF(N(F114)&lt;=0,0,MAX(0,F114*(1+Plan!$C$13/12)-(Plan!$D$13+IF(Plan!$E$13=$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G115" s="18">
        <f>IF(N(G114)&lt;=0,0,MAX(0,G114*(1+Plan!$C$14/12)-(Plan!$D$14+IF(Plan!$E$14=$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H115" s="18">
        <f>IF(N(H114)&lt;=0,0,MAX(0,H114*(1+Plan!$C$15/12)-(Plan!$D$15+IF(Plan!$E$15=$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I115" s="18">
        <f>IF(N(I114)&lt;=0,0,MAX(0,I114*(1+Plan!$C$16/12)-(Plan!$D$16+IF(Plan!$E$16=$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J115" s="18">
        <f>IF(N(J114)&lt;=0,0,MAX(0,J114*(1+Plan!$C$17/12)-(Plan!$D$17+IF(Plan!$E$17=$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K115" s="18">
        <f>IF(N(K114)&lt;=0,0,MAX(0,K114*(1+Plan!$C$18/12)-(Plan!$D$18+IF(Plan!$E$18=$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c r="L115" s="19">
        <f>MIN(IF(N(B114)&gt;0,Plan!$E$9,999),IF(N(C114)&gt;0,Plan!$E$10,999),IF(N(D114)&gt;0,Plan!$E$11,999),IF(N(E114)&gt;0,Plan!$E$12,999),IF(N(F114)&gt;0,Plan!$E$13,999),IF(N(G114)&gt;0,Plan!$E$14,999),IF(N(H114)&gt;0,Plan!$E$15,999),IF(N(I114)&gt;0,Plan!$E$16,999),IF(N(J114)&gt;0,Plan!$E$17,999),IF(N(K114)&gt;0,Plan!$E$18,999))</f>
        <v/>
      </c>
      <c r="M115" s="18">
        <f>IF(N(B114)&lt;=0,0,MIN(B114*(1+Plan!$C$9/12),Plan!$D$9+IF(Plan!$E$9=$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IF(N(C114)&lt;=0,0,MIN(C114*(1+Plan!$C$10/12),Plan!$D$10+IF(Plan!$E$10=$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IF(N(D114)&lt;=0,0,MIN(D114*(1+Plan!$C$11/12),Plan!$D$11+IF(Plan!$E$11=$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IF(N(E114)&lt;=0,0,MIN(E114*(1+Plan!$C$12/12),Plan!$D$12+IF(Plan!$E$12=$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IF(N(F114)&lt;=0,0,MIN(F114*(1+Plan!$C$13/12),Plan!$D$13+IF(Plan!$E$13=$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IF(N(G114)&lt;=0,0,MIN(G114*(1+Plan!$C$14/12),Plan!$D$14+IF(Plan!$E$14=$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IF(N(H114)&lt;=0,0,MIN(H114*(1+Plan!$C$15/12),Plan!$D$15+IF(Plan!$E$15=$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IF(N(I114)&lt;=0,0,MIN(I114*(1+Plan!$C$16/12),Plan!$D$16+IF(Plan!$E$16=$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IF(N(J114)&lt;=0,0,MIN(J114*(1+Plan!$C$17/12),Plan!$D$17+IF(Plan!$E$17=$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IF(N(K114)&lt;=0,0,MIN(K114*(1+Plan!$C$18/12),Plan!$D$18+IF(Plan!$E$18=$L115,Plan!$B$5+IF(AND(N(Plan!$B$9)&gt;0,N(B114)&lt;=0),Plan!$D$9,0)+IF(AND(N(Plan!$B$10)&gt;0,N(C114)&lt;=0),Plan!$D$10,0)+IF(AND(N(Plan!$B$11)&gt;0,N(D114)&lt;=0),Plan!$D$11,0)+IF(AND(N(Plan!$B$12)&gt;0,N(E114)&lt;=0),Plan!$D$12,0)+IF(AND(N(Plan!$B$13)&gt;0,N(F114)&lt;=0),Plan!$D$13,0)+IF(AND(N(Plan!$B$14)&gt;0,N(G114)&lt;=0),Plan!$D$14,0)+IF(AND(N(Plan!$B$15)&gt;0,N(H114)&lt;=0),Plan!$D$15,0)+IF(AND(N(Plan!$B$16)&gt;0,N(I114)&lt;=0),Plan!$D$16,0)+IF(AND(N(Plan!$B$17)&gt;0,N(J114)&lt;=0),Plan!$D$17,0)+IF(AND(N(Plan!$B$18)&gt;0,N(K114)&lt;=0),Plan!$D$18,0),0)))</f>
        <v/>
      </c>
    </row>
    <row r="116">
      <c r="A116" s="17" t="n">
        <v>112</v>
      </c>
      <c r="B116" s="18">
        <f>IF(N(B115)&lt;=0,0,MAX(0,B115*(1+Plan!$C$9/12)-(Plan!$D$9+IF(Plan!$E$9=$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C116" s="18">
        <f>IF(N(C115)&lt;=0,0,MAX(0,C115*(1+Plan!$C$10/12)-(Plan!$D$10+IF(Plan!$E$10=$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D116" s="18">
        <f>IF(N(D115)&lt;=0,0,MAX(0,D115*(1+Plan!$C$11/12)-(Plan!$D$11+IF(Plan!$E$11=$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E116" s="18">
        <f>IF(N(E115)&lt;=0,0,MAX(0,E115*(1+Plan!$C$12/12)-(Plan!$D$12+IF(Plan!$E$12=$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F116" s="18">
        <f>IF(N(F115)&lt;=0,0,MAX(0,F115*(1+Plan!$C$13/12)-(Plan!$D$13+IF(Plan!$E$13=$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G116" s="18">
        <f>IF(N(G115)&lt;=0,0,MAX(0,G115*(1+Plan!$C$14/12)-(Plan!$D$14+IF(Plan!$E$14=$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H116" s="18">
        <f>IF(N(H115)&lt;=0,0,MAX(0,H115*(1+Plan!$C$15/12)-(Plan!$D$15+IF(Plan!$E$15=$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I116" s="18">
        <f>IF(N(I115)&lt;=0,0,MAX(0,I115*(1+Plan!$C$16/12)-(Plan!$D$16+IF(Plan!$E$16=$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J116" s="18">
        <f>IF(N(J115)&lt;=0,0,MAX(0,J115*(1+Plan!$C$17/12)-(Plan!$D$17+IF(Plan!$E$17=$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K116" s="18">
        <f>IF(N(K115)&lt;=0,0,MAX(0,K115*(1+Plan!$C$18/12)-(Plan!$D$18+IF(Plan!$E$18=$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c r="L116" s="19">
        <f>MIN(IF(N(B115)&gt;0,Plan!$E$9,999),IF(N(C115)&gt;0,Plan!$E$10,999),IF(N(D115)&gt;0,Plan!$E$11,999),IF(N(E115)&gt;0,Plan!$E$12,999),IF(N(F115)&gt;0,Plan!$E$13,999),IF(N(G115)&gt;0,Plan!$E$14,999),IF(N(H115)&gt;0,Plan!$E$15,999),IF(N(I115)&gt;0,Plan!$E$16,999),IF(N(J115)&gt;0,Plan!$E$17,999),IF(N(K115)&gt;0,Plan!$E$18,999))</f>
        <v/>
      </c>
      <c r="M116" s="18">
        <f>IF(N(B115)&lt;=0,0,MIN(B115*(1+Plan!$C$9/12),Plan!$D$9+IF(Plan!$E$9=$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IF(N(C115)&lt;=0,0,MIN(C115*(1+Plan!$C$10/12),Plan!$D$10+IF(Plan!$E$10=$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IF(N(D115)&lt;=0,0,MIN(D115*(1+Plan!$C$11/12),Plan!$D$11+IF(Plan!$E$11=$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IF(N(E115)&lt;=0,0,MIN(E115*(1+Plan!$C$12/12),Plan!$D$12+IF(Plan!$E$12=$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IF(N(F115)&lt;=0,0,MIN(F115*(1+Plan!$C$13/12),Plan!$D$13+IF(Plan!$E$13=$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IF(N(G115)&lt;=0,0,MIN(G115*(1+Plan!$C$14/12),Plan!$D$14+IF(Plan!$E$14=$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IF(N(H115)&lt;=0,0,MIN(H115*(1+Plan!$C$15/12),Plan!$D$15+IF(Plan!$E$15=$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IF(N(I115)&lt;=0,0,MIN(I115*(1+Plan!$C$16/12),Plan!$D$16+IF(Plan!$E$16=$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IF(N(J115)&lt;=0,0,MIN(J115*(1+Plan!$C$17/12),Plan!$D$17+IF(Plan!$E$17=$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IF(N(K115)&lt;=0,0,MIN(K115*(1+Plan!$C$18/12),Plan!$D$18+IF(Plan!$E$18=$L116,Plan!$B$5+IF(AND(N(Plan!$B$9)&gt;0,N(B115)&lt;=0),Plan!$D$9,0)+IF(AND(N(Plan!$B$10)&gt;0,N(C115)&lt;=0),Plan!$D$10,0)+IF(AND(N(Plan!$B$11)&gt;0,N(D115)&lt;=0),Plan!$D$11,0)+IF(AND(N(Plan!$B$12)&gt;0,N(E115)&lt;=0),Plan!$D$12,0)+IF(AND(N(Plan!$B$13)&gt;0,N(F115)&lt;=0),Plan!$D$13,0)+IF(AND(N(Plan!$B$14)&gt;0,N(G115)&lt;=0),Plan!$D$14,0)+IF(AND(N(Plan!$B$15)&gt;0,N(H115)&lt;=0),Plan!$D$15,0)+IF(AND(N(Plan!$B$16)&gt;0,N(I115)&lt;=0),Plan!$D$16,0)+IF(AND(N(Plan!$B$17)&gt;0,N(J115)&lt;=0),Plan!$D$17,0)+IF(AND(N(Plan!$B$18)&gt;0,N(K115)&lt;=0),Plan!$D$18,0),0)))</f>
        <v/>
      </c>
    </row>
    <row r="117">
      <c r="A117" s="17" t="n">
        <v>113</v>
      </c>
      <c r="B117" s="18">
        <f>IF(N(B116)&lt;=0,0,MAX(0,B116*(1+Plan!$C$9/12)-(Plan!$D$9+IF(Plan!$E$9=$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C117" s="18">
        <f>IF(N(C116)&lt;=0,0,MAX(0,C116*(1+Plan!$C$10/12)-(Plan!$D$10+IF(Plan!$E$10=$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D117" s="18">
        <f>IF(N(D116)&lt;=0,0,MAX(0,D116*(1+Plan!$C$11/12)-(Plan!$D$11+IF(Plan!$E$11=$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E117" s="18">
        <f>IF(N(E116)&lt;=0,0,MAX(0,E116*(1+Plan!$C$12/12)-(Plan!$D$12+IF(Plan!$E$12=$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F117" s="18">
        <f>IF(N(F116)&lt;=0,0,MAX(0,F116*(1+Plan!$C$13/12)-(Plan!$D$13+IF(Plan!$E$13=$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G117" s="18">
        <f>IF(N(G116)&lt;=0,0,MAX(0,G116*(1+Plan!$C$14/12)-(Plan!$D$14+IF(Plan!$E$14=$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H117" s="18">
        <f>IF(N(H116)&lt;=0,0,MAX(0,H116*(1+Plan!$C$15/12)-(Plan!$D$15+IF(Plan!$E$15=$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I117" s="18">
        <f>IF(N(I116)&lt;=0,0,MAX(0,I116*(1+Plan!$C$16/12)-(Plan!$D$16+IF(Plan!$E$16=$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J117" s="18">
        <f>IF(N(J116)&lt;=0,0,MAX(0,J116*(1+Plan!$C$17/12)-(Plan!$D$17+IF(Plan!$E$17=$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K117" s="18">
        <f>IF(N(K116)&lt;=0,0,MAX(0,K116*(1+Plan!$C$18/12)-(Plan!$D$18+IF(Plan!$E$18=$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c r="L117" s="19">
        <f>MIN(IF(N(B116)&gt;0,Plan!$E$9,999),IF(N(C116)&gt;0,Plan!$E$10,999),IF(N(D116)&gt;0,Plan!$E$11,999),IF(N(E116)&gt;0,Plan!$E$12,999),IF(N(F116)&gt;0,Plan!$E$13,999),IF(N(G116)&gt;0,Plan!$E$14,999),IF(N(H116)&gt;0,Plan!$E$15,999),IF(N(I116)&gt;0,Plan!$E$16,999),IF(N(J116)&gt;0,Plan!$E$17,999),IF(N(K116)&gt;0,Plan!$E$18,999))</f>
        <v/>
      </c>
      <c r="M117" s="18">
        <f>IF(N(B116)&lt;=0,0,MIN(B116*(1+Plan!$C$9/12),Plan!$D$9+IF(Plan!$E$9=$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IF(N(C116)&lt;=0,0,MIN(C116*(1+Plan!$C$10/12),Plan!$D$10+IF(Plan!$E$10=$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IF(N(D116)&lt;=0,0,MIN(D116*(1+Plan!$C$11/12),Plan!$D$11+IF(Plan!$E$11=$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IF(N(E116)&lt;=0,0,MIN(E116*(1+Plan!$C$12/12),Plan!$D$12+IF(Plan!$E$12=$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IF(N(F116)&lt;=0,0,MIN(F116*(1+Plan!$C$13/12),Plan!$D$13+IF(Plan!$E$13=$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IF(N(G116)&lt;=0,0,MIN(G116*(1+Plan!$C$14/12),Plan!$D$14+IF(Plan!$E$14=$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IF(N(H116)&lt;=0,0,MIN(H116*(1+Plan!$C$15/12),Plan!$D$15+IF(Plan!$E$15=$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IF(N(I116)&lt;=0,0,MIN(I116*(1+Plan!$C$16/12),Plan!$D$16+IF(Plan!$E$16=$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IF(N(J116)&lt;=0,0,MIN(J116*(1+Plan!$C$17/12),Plan!$D$17+IF(Plan!$E$17=$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IF(N(K116)&lt;=0,0,MIN(K116*(1+Plan!$C$18/12),Plan!$D$18+IF(Plan!$E$18=$L117,Plan!$B$5+IF(AND(N(Plan!$B$9)&gt;0,N(B116)&lt;=0),Plan!$D$9,0)+IF(AND(N(Plan!$B$10)&gt;0,N(C116)&lt;=0),Plan!$D$10,0)+IF(AND(N(Plan!$B$11)&gt;0,N(D116)&lt;=0),Plan!$D$11,0)+IF(AND(N(Plan!$B$12)&gt;0,N(E116)&lt;=0),Plan!$D$12,0)+IF(AND(N(Plan!$B$13)&gt;0,N(F116)&lt;=0),Plan!$D$13,0)+IF(AND(N(Plan!$B$14)&gt;0,N(G116)&lt;=0),Plan!$D$14,0)+IF(AND(N(Plan!$B$15)&gt;0,N(H116)&lt;=0),Plan!$D$15,0)+IF(AND(N(Plan!$B$16)&gt;0,N(I116)&lt;=0),Plan!$D$16,0)+IF(AND(N(Plan!$B$17)&gt;0,N(J116)&lt;=0),Plan!$D$17,0)+IF(AND(N(Plan!$B$18)&gt;0,N(K116)&lt;=0),Plan!$D$18,0),0)))</f>
        <v/>
      </c>
    </row>
    <row r="118">
      <c r="A118" s="17" t="n">
        <v>114</v>
      </c>
      <c r="B118" s="18">
        <f>IF(N(B117)&lt;=0,0,MAX(0,B117*(1+Plan!$C$9/12)-(Plan!$D$9+IF(Plan!$E$9=$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C118" s="18">
        <f>IF(N(C117)&lt;=0,0,MAX(0,C117*(1+Plan!$C$10/12)-(Plan!$D$10+IF(Plan!$E$10=$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D118" s="18">
        <f>IF(N(D117)&lt;=0,0,MAX(0,D117*(1+Plan!$C$11/12)-(Plan!$D$11+IF(Plan!$E$11=$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E118" s="18">
        <f>IF(N(E117)&lt;=0,0,MAX(0,E117*(1+Plan!$C$12/12)-(Plan!$D$12+IF(Plan!$E$12=$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F118" s="18">
        <f>IF(N(F117)&lt;=0,0,MAX(0,F117*(1+Plan!$C$13/12)-(Plan!$D$13+IF(Plan!$E$13=$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G118" s="18">
        <f>IF(N(G117)&lt;=0,0,MAX(0,G117*(1+Plan!$C$14/12)-(Plan!$D$14+IF(Plan!$E$14=$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H118" s="18">
        <f>IF(N(H117)&lt;=0,0,MAX(0,H117*(1+Plan!$C$15/12)-(Plan!$D$15+IF(Plan!$E$15=$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I118" s="18">
        <f>IF(N(I117)&lt;=0,0,MAX(0,I117*(1+Plan!$C$16/12)-(Plan!$D$16+IF(Plan!$E$16=$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J118" s="18">
        <f>IF(N(J117)&lt;=0,0,MAX(0,J117*(1+Plan!$C$17/12)-(Plan!$D$17+IF(Plan!$E$17=$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K118" s="18">
        <f>IF(N(K117)&lt;=0,0,MAX(0,K117*(1+Plan!$C$18/12)-(Plan!$D$18+IF(Plan!$E$18=$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c r="L118" s="19">
        <f>MIN(IF(N(B117)&gt;0,Plan!$E$9,999),IF(N(C117)&gt;0,Plan!$E$10,999),IF(N(D117)&gt;0,Plan!$E$11,999),IF(N(E117)&gt;0,Plan!$E$12,999),IF(N(F117)&gt;0,Plan!$E$13,999),IF(N(G117)&gt;0,Plan!$E$14,999),IF(N(H117)&gt;0,Plan!$E$15,999),IF(N(I117)&gt;0,Plan!$E$16,999),IF(N(J117)&gt;0,Plan!$E$17,999),IF(N(K117)&gt;0,Plan!$E$18,999))</f>
        <v/>
      </c>
      <c r="M118" s="18">
        <f>IF(N(B117)&lt;=0,0,MIN(B117*(1+Plan!$C$9/12),Plan!$D$9+IF(Plan!$E$9=$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IF(N(C117)&lt;=0,0,MIN(C117*(1+Plan!$C$10/12),Plan!$D$10+IF(Plan!$E$10=$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IF(N(D117)&lt;=0,0,MIN(D117*(1+Plan!$C$11/12),Plan!$D$11+IF(Plan!$E$11=$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IF(N(E117)&lt;=0,0,MIN(E117*(1+Plan!$C$12/12),Plan!$D$12+IF(Plan!$E$12=$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IF(N(F117)&lt;=0,0,MIN(F117*(1+Plan!$C$13/12),Plan!$D$13+IF(Plan!$E$13=$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IF(N(G117)&lt;=0,0,MIN(G117*(1+Plan!$C$14/12),Plan!$D$14+IF(Plan!$E$14=$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IF(N(H117)&lt;=0,0,MIN(H117*(1+Plan!$C$15/12),Plan!$D$15+IF(Plan!$E$15=$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IF(N(I117)&lt;=0,0,MIN(I117*(1+Plan!$C$16/12),Plan!$D$16+IF(Plan!$E$16=$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IF(N(J117)&lt;=0,0,MIN(J117*(1+Plan!$C$17/12),Plan!$D$17+IF(Plan!$E$17=$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IF(N(K117)&lt;=0,0,MIN(K117*(1+Plan!$C$18/12),Plan!$D$18+IF(Plan!$E$18=$L118,Plan!$B$5+IF(AND(N(Plan!$B$9)&gt;0,N(B117)&lt;=0),Plan!$D$9,0)+IF(AND(N(Plan!$B$10)&gt;0,N(C117)&lt;=0),Plan!$D$10,0)+IF(AND(N(Plan!$B$11)&gt;0,N(D117)&lt;=0),Plan!$D$11,0)+IF(AND(N(Plan!$B$12)&gt;0,N(E117)&lt;=0),Plan!$D$12,0)+IF(AND(N(Plan!$B$13)&gt;0,N(F117)&lt;=0),Plan!$D$13,0)+IF(AND(N(Plan!$B$14)&gt;0,N(G117)&lt;=0),Plan!$D$14,0)+IF(AND(N(Plan!$B$15)&gt;0,N(H117)&lt;=0),Plan!$D$15,0)+IF(AND(N(Plan!$B$16)&gt;0,N(I117)&lt;=0),Plan!$D$16,0)+IF(AND(N(Plan!$B$17)&gt;0,N(J117)&lt;=0),Plan!$D$17,0)+IF(AND(N(Plan!$B$18)&gt;0,N(K117)&lt;=0),Plan!$D$18,0),0)))</f>
        <v/>
      </c>
    </row>
    <row r="119">
      <c r="A119" s="17" t="n">
        <v>115</v>
      </c>
      <c r="B119" s="18">
        <f>IF(N(B118)&lt;=0,0,MAX(0,B118*(1+Plan!$C$9/12)-(Plan!$D$9+IF(Plan!$E$9=$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C119" s="18">
        <f>IF(N(C118)&lt;=0,0,MAX(0,C118*(1+Plan!$C$10/12)-(Plan!$D$10+IF(Plan!$E$10=$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D119" s="18">
        <f>IF(N(D118)&lt;=0,0,MAX(0,D118*(1+Plan!$C$11/12)-(Plan!$D$11+IF(Plan!$E$11=$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E119" s="18">
        <f>IF(N(E118)&lt;=0,0,MAX(0,E118*(1+Plan!$C$12/12)-(Plan!$D$12+IF(Plan!$E$12=$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F119" s="18">
        <f>IF(N(F118)&lt;=0,0,MAX(0,F118*(1+Plan!$C$13/12)-(Plan!$D$13+IF(Plan!$E$13=$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G119" s="18">
        <f>IF(N(G118)&lt;=0,0,MAX(0,G118*(1+Plan!$C$14/12)-(Plan!$D$14+IF(Plan!$E$14=$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H119" s="18">
        <f>IF(N(H118)&lt;=0,0,MAX(0,H118*(1+Plan!$C$15/12)-(Plan!$D$15+IF(Plan!$E$15=$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I119" s="18">
        <f>IF(N(I118)&lt;=0,0,MAX(0,I118*(1+Plan!$C$16/12)-(Plan!$D$16+IF(Plan!$E$16=$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J119" s="18">
        <f>IF(N(J118)&lt;=0,0,MAX(0,J118*(1+Plan!$C$17/12)-(Plan!$D$17+IF(Plan!$E$17=$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K119" s="18">
        <f>IF(N(K118)&lt;=0,0,MAX(0,K118*(1+Plan!$C$18/12)-(Plan!$D$18+IF(Plan!$E$18=$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c r="L119" s="19">
        <f>MIN(IF(N(B118)&gt;0,Plan!$E$9,999),IF(N(C118)&gt;0,Plan!$E$10,999),IF(N(D118)&gt;0,Plan!$E$11,999),IF(N(E118)&gt;0,Plan!$E$12,999),IF(N(F118)&gt;0,Plan!$E$13,999),IF(N(G118)&gt;0,Plan!$E$14,999),IF(N(H118)&gt;0,Plan!$E$15,999),IF(N(I118)&gt;0,Plan!$E$16,999),IF(N(J118)&gt;0,Plan!$E$17,999),IF(N(K118)&gt;0,Plan!$E$18,999))</f>
        <v/>
      </c>
      <c r="M119" s="18">
        <f>IF(N(B118)&lt;=0,0,MIN(B118*(1+Plan!$C$9/12),Plan!$D$9+IF(Plan!$E$9=$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IF(N(C118)&lt;=0,0,MIN(C118*(1+Plan!$C$10/12),Plan!$D$10+IF(Plan!$E$10=$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IF(N(D118)&lt;=0,0,MIN(D118*(1+Plan!$C$11/12),Plan!$D$11+IF(Plan!$E$11=$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IF(N(E118)&lt;=0,0,MIN(E118*(1+Plan!$C$12/12),Plan!$D$12+IF(Plan!$E$12=$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IF(N(F118)&lt;=0,0,MIN(F118*(1+Plan!$C$13/12),Plan!$D$13+IF(Plan!$E$13=$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IF(N(G118)&lt;=0,0,MIN(G118*(1+Plan!$C$14/12),Plan!$D$14+IF(Plan!$E$14=$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IF(N(H118)&lt;=0,0,MIN(H118*(1+Plan!$C$15/12),Plan!$D$15+IF(Plan!$E$15=$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IF(N(I118)&lt;=0,0,MIN(I118*(1+Plan!$C$16/12),Plan!$D$16+IF(Plan!$E$16=$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IF(N(J118)&lt;=0,0,MIN(J118*(1+Plan!$C$17/12),Plan!$D$17+IF(Plan!$E$17=$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IF(N(K118)&lt;=0,0,MIN(K118*(1+Plan!$C$18/12),Plan!$D$18+IF(Plan!$E$18=$L119,Plan!$B$5+IF(AND(N(Plan!$B$9)&gt;0,N(B118)&lt;=0),Plan!$D$9,0)+IF(AND(N(Plan!$B$10)&gt;0,N(C118)&lt;=0),Plan!$D$10,0)+IF(AND(N(Plan!$B$11)&gt;0,N(D118)&lt;=0),Plan!$D$11,0)+IF(AND(N(Plan!$B$12)&gt;0,N(E118)&lt;=0),Plan!$D$12,0)+IF(AND(N(Plan!$B$13)&gt;0,N(F118)&lt;=0),Plan!$D$13,0)+IF(AND(N(Plan!$B$14)&gt;0,N(G118)&lt;=0),Plan!$D$14,0)+IF(AND(N(Plan!$B$15)&gt;0,N(H118)&lt;=0),Plan!$D$15,0)+IF(AND(N(Plan!$B$16)&gt;0,N(I118)&lt;=0),Plan!$D$16,0)+IF(AND(N(Plan!$B$17)&gt;0,N(J118)&lt;=0),Plan!$D$17,0)+IF(AND(N(Plan!$B$18)&gt;0,N(K118)&lt;=0),Plan!$D$18,0),0)))</f>
        <v/>
      </c>
    </row>
    <row r="120">
      <c r="A120" s="17" t="n">
        <v>116</v>
      </c>
      <c r="B120" s="18">
        <f>IF(N(B119)&lt;=0,0,MAX(0,B119*(1+Plan!$C$9/12)-(Plan!$D$9+IF(Plan!$E$9=$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C120" s="18">
        <f>IF(N(C119)&lt;=0,0,MAX(0,C119*(1+Plan!$C$10/12)-(Plan!$D$10+IF(Plan!$E$10=$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D120" s="18">
        <f>IF(N(D119)&lt;=0,0,MAX(0,D119*(1+Plan!$C$11/12)-(Plan!$D$11+IF(Plan!$E$11=$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E120" s="18">
        <f>IF(N(E119)&lt;=0,0,MAX(0,E119*(1+Plan!$C$12/12)-(Plan!$D$12+IF(Plan!$E$12=$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F120" s="18">
        <f>IF(N(F119)&lt;=0,0,MAX(0,F119*(1+Plan!$C$13/12)-(Plan!$D$13+IF(Plan!$E$13=$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G120" s="18">
        <f>IF(N(G119)&lt;=0,0,MAX(0,G119*(1+Plan!$C$14/12)-(Plan!$D$14+IF(Plan!$E$14=$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H120" s="18">
        <f>IF(N(H119)&lt;=0,0,MAX(0,H119*(1+Plan!$C$15/12)-(Plan!$D$15+IF(Plan!$E$15=$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I120" s="18">
        <f>IF(N(I119)&lt;=0,0,MAX(0,I119*(1+Plan!$C$16/12)-(Plan!$D$16+IF(Plan!$E$16=$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J120" s="18">
        <f>IF(N(J119)&lt;=0,0,MAX(0,J119*(1+Plan!$C$17/12)-(Plan!$D$17+IF(Plan!$E$17=$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K120" s="18">
        <f>IF(N(K119)&lt;=0,0,MAX(0,K119*(1+Plan!$C$18/12)-(Plan!$D$18+IF(Plan!$E$18=$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c r="L120" s="19">
        <f>MIN(IF(N(B119)&gt;0,Plan!$E$9,999),IF(N(C119)&gt;0,Plan!$E$10,999),IF(N(D119)&gt;0,Plan!$E$11,999),IF(N(E119)&gt;0,Plan!$E$12,999),IF(N(F119)&gt;0,Plan!$E$13,999),IF(N(G119)&gt;0,Plan!$E$14,999),IF(N(H119)&gt;0,Plan!$E$15,999),IF(N(I119)&gt;0,Plan!$E$16,999),IF(N(J119)&gt;0,Plan!$E$17,999),IF(N(K119)&gt;0,Plan!$E$18,999))</f>
        <v/>
      </c>
      <c r="M120" s="18">
        <f>IF(N(B119)&lt;=0,0,MIN(B119*(1+Plan!$C$9/12),Plan!$D$9+IF(Plan!$E$9=$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IF(N(C119)&lt;=0,0,MIN(C119*(1+Plan!$C$10/12),Plan!$D$10+IF(Plan!$E$10=$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IF(N(D119)&lt;=0,0,MIN(D119*(1+Plan!$C$11/12),Plan!$D$11+IF(Plan!$E$11=$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IF(N(E119)&lt;=0,0,MIN(E119*(1+Plan!$C$12/12),Plan!$D$12+IF(Plan!$E$12=$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IF(N(F119)&lt;=0,0,MIN(F119*(1+Plan!$C$13/12),Plan!$D$13+IF(Plan!$E$13=$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IF(N(G119)&lt;=0,0,MIN(G119*(1+Plan!$C$14/12),Plan!$D$14+IF(Plan!$E$14=$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IF(N(H119)&lt;=0,0,MIN(H119*(1+Plan!$C$15/12),Plan!$D$15+IF(Plan!$E$15=$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IF(N(I119)&lt;=0,0,MIN(I119*(1+Plan!$C$16/12),Plan!$D$16+IF(Plan!$E$16=$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IF(N(J119)&lt;=0,0,MIN(J119*(1+Plan!$C$17/12),Plan!$D$17+IF(Plan!$E$17=$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IF(N(K119)&lt;=0,0,MIN(K119*(1+Plan!$C$18/12),Plan!$D$18+IF(Plan!$E$18=$L120,Plan!$B$5+IF(AND(N(Plan!$B$9)&gt;0,N(B119)&lt;=0),Plan!$D$9,0)+IF(AND(N(Plan!$B$10)&gt;0,N(C119)&lt;=0),Plan!$D$10,0)+IF(AND(N(Plan!$B$11)&gt;0,N(D119)&lt;=0),Plan!$D$11,0)+IF(AND(N(Plan!$B$12)&gt;0,N(E119)&lt;=0),Plan!$D$12,0)+IF(AND(N(Plan!$B$13)&gt;0,N(F119)&lt;=0),Plan!$D$13,0)+IF(AND(N(Plan!$B$14)&gt;0,N(G119)&lt;=0),Plan!$D$14,0)+IF(AND(N(Plan!$B$15)&gt;0,N(H119)&lt;=0),Plan!$D$15,0)+IF(AND(N(Plan!$B$16)&gt;0,N(I119)&lt;=0),Plan!$D$16,0)+IF(AND(N(Plan!$B$17)&gt;0,N(J119)&lt;=0),Plan!$D$17,0)+IF(AND(N(Plan!$B$18)&gt;0,N(K119)&lt;=0),Plan!$D$18,0),0)))</f>
        <v/>
      </c>
    </row>
    <row r="121">
      <c r="A121" s="17" t="n">
        <v>117</v>
      </c>
      <c r="B121" s="18">
        <f>IF(N(B120)&lt;=0,0,MAX(0,B120*(1+Plan!$C$9/12)-(Plan!$D$9+IF(Plan!$E$9=$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C121" s="18">
        <f>IF(N(C120)&lt;=0,0,MAX(0,C120*(1+Plan!$C$10/12)-(Plan!$D$10+IF(Plan!$E$10=$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D121" s="18">
        <f>IF(N(D120)&lt;=0,0,MAX(0,D120*(1+Plan!$C$11/12)-(Plan!$D$11+IF(Plan!$E$11=$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E121" s="18">
        <f>IF(N(E120)&lt;=0,0,MAX(0,E120*(1+Plan!$C$12/12)-(Plan!$D$12+IF(Plan!$E$12=$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F121" s="18">
        <f>IF(N(F120)&lt;=0,0,MAX(0,F120*(1+Plan!$C$13/12)-(Plan!$D$13+IF(Plan!$E$13=$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G121" s="18">
        <f>IF(N(G120)&lt;=0,0,MAX(0,G120*(1+Plan!$C$14/12)-(Plan!$D$14+IF(Plan!$E$14=$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H121" s="18">
        <f>IF(N(H120)&lt;=0,0,MAX(0,H120*(1+Plan!$C$15/12)-(Plan!$D$15+IF(Plan!$E$15=$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I121" s="18">
        <f>IF(N(I120)&lt;=0,0,MAX(0,I120*(1+Plan!$C$16/12)-(Plan!$D$16+IF(Plan!$E$16=$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J121" s="18">
        <f>IF(N(J120)&lt;=0,0,MAX(0,J120*(1+Plan!$C$17/12)-(Plan!$D$17+IF(Plan!$E$17=$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K121" s="18">
        <f>IF(N(K120)&lt;=0,0,MAX(0,K120*(1+Plan!$C$18/12)-(Plan!$D$18+IF(Plan!$E$18=$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c r="L121" s="19">
        <f>MIN(IF(N(B120)&gt;0,Plan!$E$9,999),IF(N(C120)&gt;0,Plan!$E$10,999),IF(N(D120)&gt;0,Plan!$E$11,999),IF(N(E120)&gt;0,Plan!$E$12,999),IF(N(F120)&gt;0,Plan!$E$13,999),IF(N(G120)&gt;0,Plan!$E$14,999),IF(N(H120)&gt;0,Plan!$E$15,999),IF(N(I120)&gt;0,Plan!$E$16,999),IF(N(J120)&gt;0,Plan!$E$17,999),IF(N(K120)&gt;0,Plan!$E$18,999))</f>
        <v/>
      </c>
      <c r="M121" s="18">
        <f>IF(N(B120)&lt;=0,0,MIN(B120*(1+Plan!$C$9/12),Plan!$D$9+IF(Plan!$E$9=$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IF(N(C120)&lt;=0,0,MIN(C120*(1+Plan!$C$10/12),Plan!$D$10+IF(Plan!$E$10=$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IF(N(D120)&lt;=0,0,MIN(D120*(1+Plan!$C$11/12),Plan!$D$11+IF(Plan!$E$11=$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IF(N(E120)&lt;=0,0,MIN(E120*(1+Plan!$C$12/12),Plan!$D$12+IF(Plan!$E$12=$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IF(N(F120)&lt;=0,0,MIN(F120*(1+Plan!$C$13/12),Plan!$D$13+IF(Plan!$E$13=$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IF(N(G120)&lt;=0,0,MIN(G120*(1+Plan!$C$14/12),Plan!$D$14+IF(Plan!$E$14=$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IF(N(H120)&lt;=0,0,MIN(H120*(1+Plan!$C$15/12),Plan!$D$15+IF(Plan!$E$15=$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IF(N(I120)&lt;=0,0,MIN(I120*(1+Plan!$C$16/12),Plan!$D$16+IF(Plan!$E$16=$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IF(N(J120)&lt;=0,0,MIN(J120*(1+Plan!$C$17/12),Plan!$D$17+IF(Plan!$E$17=$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IF(N(K120)&lt;=0,0,MIN(K120*(1+Plan!$C$18/12),Plan!$D$18+IF(Plan!$E$18=$L121,Plan!$B$5+IF(AND(N(Plan!$B$9)&gt;0,N(B120)&lt;=0),Plan!$D$9,0)+IF(AND(N(Plan!$B$10)&gt;0,N(C120)&lt;=0),Plan!$D$10,0)+IF(AND(N(Plan!$B$11)&gt;0,N(D120)&lt;=0),Plan!$D$11,0)+IF(AND(N(Plan!$B$12)&gt;0,N(E120)&lt;=0),Plan!$D$12,0)+IF(AND(N(Plan!$B$13)&gt;0,N(F120)&lt;=0),Plan!$D$13,0)+IF(AND(N(Plan!$B$14)&gt;0,N(G120)&lt;=0),Plan!$D$14,0)+IF(AND(N(Plan!$B$15)&gt;0,N(H120)&lt;=0),Plan!$D$15,0)+IF(AND(N(Plan!$B$16)&gt;0,N(I120)&lt;=0),Plan!$D$16,0)+IF(AND(N(Plan!$B$17)&gt;0,N(J120)&lt;=0),Plan!$D$17,0)+IF(AND(N(Plan!$B$18)&gt;0,N(K120)&lt;=0),Plan!$D$18,0),0)))</f>
        <v/>
      </c>
    </row>
    <row r="122">
      <c r="A122" s="17" t="n">
        <v>118</v>
      </c>
      <c r="B122" s="18">
        <f>IF(N(B121)&lt;=0,0,MAX(0,B121*(1+Plan!$C$9/12)-(Plan!$D$9+IF(Plan!$E$9=$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C122" s="18">
        <f>IF(N(C121)&lt;=0,0,MAX(0,C121*(1+Plan!$C$10/12)-(Plan!$D$10+IF(Plan!$E$10=$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D122" s="18">
        <f>IF(N(D121)&lt;=0,0,MAX(0,D121*(1+Plan!$C$11/12)-(Plan!$D$11+IF(Plan!$E$11=$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E122" s="18">
        <f>IF(N(E121)&lt;=0,0,MAX(0,E121*(1+Plan!$C$12/12)-(Plan!$D$12+IF(Plan!$E$12=$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F122" s="18">
        <f>IF(N(F121)&lt;=0,0,MAX(0,F121*(1+Plan!$C$13/12)-(Plan!$D$13+IF(Plan!$E$13=$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G122" s="18">
        <f>IF(N(G121)&lt;=0,0,MAX(0,G121*(1+Plan!$C$14/12)-(Plan!$D$14+IF(Plan!$E$14=$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H122" s="18">
        <f>IF(N(H121)&lt;=0,0,MAX(0,H121*(1+Plan!$C$15/12)-(Plan!$D$15+IF(Plan!$E$15=$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I122" s="18">
        <f>IF(N(I121)&lt;=0,0,MAX(0,I121*(1+Plan!$C$16/12)-(Plan!$D$16+IF(Plan!$E$16=$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J122" s="18">
        <f>IF(N(J121)&lt;=0,0,MAX(0,J121*(1+Plan!$C$17/12)-(Plan!$D$17+IF(Plan!$E$17=$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K122" s="18">
        <f>IF(N(K121)&lt;=0,0,MAX(0,K121*(1+Plan!$C$18/12)-(Plan!$D$18+IF(Plan!$E$18=$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c r="L122" s="19">
        <f>MIN(IF(N(B121)&gt;0,Plan!$E$9,999),IF(N(C121)&gt;0,Plan!$E$10,999),IF(N(D121)&gt;0,Plan!$E$11,999),IF(N(E121)&gt;0,Plan!$E$12,999),IF(N(F121)&gt;0,Plan!$E$13,999),IF(N(G121)&gt;0,Plan!$E$14,999),IF(N(H121)&gt;0,Plan!$E$15,999),IF(N(I121)&gt;0,Plan!$E$16,999),IF(N(J121)&gt;0,Plan!$E$17,999),IF(N(K121)&gt;0,Plan!$E$18,999))</f>
        <v/>
      </c>
      <c r="M122" s="18">
        <f>IF(N(B121)&lt;=0,0,MIN(B121*(1+Plan!$C$9/12),Plan!$D$9+IF(Plan!$E$9=$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IF(N(C121)&lt;=0,0,MIN(C121*(1+Plan!$C$10/12),Plan!$D$10+IF(Plan!$E$10=$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IF(N(D121)&lt;=0,0,MIN(D121*(1+Plan!$C$11/12),Plan!$D$11+IF(Plan!$E$11=$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IF(N(E121)&lt;=0,0,MIN(E121*(1+Plan!$C$12/12),Plan!$D$12+IF(Plan!$E$12=$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IF(N(F121)&lt;=0,0,MIN(F121*(1+Plan!$C$13/12),Plan!$D$13+IF(Plan!$E$13=$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IF(N(G121)&lt;=0,0,MIN(G121*(1+Plan!$C$14/12),Plan!$D$14+IF(Plan!$E$14=$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IF(N(H121)&lt;=0,0,MIN(H121*(1+Plan!$C$15/12),Plan!$D$15+IF(Plan!$E$15=$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IF(N(I121)&lt;=0,0,MIN(I121*(1+Plan!$C$16/12),Plan!$D$16+IF(Plan!$E$16=$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IF(N(J121)&lt;=0,0,MIN(J121*(1+Plan!$C$17/12),Plan!$D$17+IF(Plan!$E$17=$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IF(N(K121)&lt;=0,0,MIN(K121*(1+Plan!$C$18/12),Plan!$D$18+IF(Plan!$E$18=$L122,Plan!$B$5+IF(AND(N(Plan!$B$9)&gt;0,N(B121)&lt;=0),Plan!$D$9,0)+IF(AND(N(Plan!$B$10)&gt;0,N(C121)&lt;=0),Plan!$D$10,0)+IF(AND(N(Plan!$B$11)&gt;0,N(D121)&lt;=0),Plan!$D$11,0)+IF(AND(N(Plan!$B$12)&gt;0,N(E121)&lt;=0),Plan!$D$12,0)+IF(AND(N(Plan!$B$13)&gt;0,N(F121)&lt;=0),Plan!$D$13,0)+IF(AND(N(Plan!$B$14)&gt;0,N(G121)&lt;=0),Plan!$D$14,0)+IF(AND(N(Plan!$B$15)&gt;0,N(H121)&lt;=0),Plan!$D$15,0)+IF(AND(N(Plan!$B$16)&gt;0,N(I121)&lt;=0),Plan!$D$16,0)+IF(AND(N(Plan!$B$17)&gt;0,N(J121)&lt;=0),Plan!$D$17,0)+IF(AND(N(Plan!$B$18)&gt;0,N(K121)&lt;=0),Plan!$D$18,0),0)))</f>
        <v/>
      </c>
    </row>
    <row r="123">
      <c r="A123" s="17" t="n">
        <v>119</v>
      </c>
      <c r="B123" s="18">
        <f>IF(N(B122)&lt;=0,0,MAX(0,B122*(1+Plan!$C$9/12)-(Plan!$D$9+IF(Plan!$E$9=$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C123" s="18">
        <f>IF(N(C122)&lt;=0,0,MAX(0,C122*(1+Plan!$C$10/12)-(Plan!$D$10+IF(Plan!$E$10=$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D123" s="18">
        <f>IF(N(D122)&lt;=0,0,MAX(0,D122*(1+Plan!$C$11/12)-(Plan!$D$11+IF(Plan!$E$11=$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E123" s="18">
        <f>IF(N(E122)&lt;=0,0,MAX(0,E122*(1+Plan!$C$12/12)-(Plan!$D$12+IF(Plan!$E$12=$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F123" s="18">
        <f>IF(N(F122)&lt;=0,0,MAX(0,F122*(1+Plan!$C$13/12)-(Plan!$D$13+IF(Plan!$E$13=$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G123" s="18">
        <f>IF(N(G122)&lt;=0,0,MAX(0,G122*(1+Plan!$C$14/12)-(Plan!$D$14+IF(Plan!$E$14=$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H123" s="18">
        <f>IF(N(H122)&lt;=0,0,MAX(0,H122*(1+Plan!$C$15/12)-(Plan!$D$15+IF(Plan!$E$15=$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I123" s="18">
        <f>IF(N(I122)&lt;=0,0,MAX(0,I122*(1+Plan!$C$16/12)-(Plan!$D$16+IF(Plan!$E$16=$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J123" s="18">
        <f>IF(N(J122)&lt;=0,0,MAX(0,J122*(1+Plan!$C$17/12)-(Plan!$D$17+IF(Plan!$E$17=$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K123" s="18">
        <f>IF(N(K122)&lt;=0,0,MAX(0,K122*(1+Plan!$C$18/12)-(Plan!$D$18+IF(Plan!$E$18=$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c r="L123" s="19">
        <f>MIN(IF(N(B122)&gt;0,Plan!$E$9,999),IF(N(C122)&gt;0,Plan!$E$10,999),IF(N(D122)&gt;0,Plan!$E$11,999),IF(N(E122)&gt;0,Plan!$E$12,999),IF(N(F122)&gt;0,Plan!$E$13,999),IF(N(G122)&gt;0,Plan!$E$14,999),IF(N(H122)&gt;0,Plan!$E$15,999),IF(N(I122)&gt;0,Plan!$E$16,999),IF(N(J122)&gt;0,Plan!$E$17,999),IF(N(K122)&gt;0,Plan!$E$18,999))</f>
        <v/>
      </c>
      <c r="M123" s="18">
        <f>IF(N(B122)&lt;=0,0,MIN(B122*(1+Plan!$C$9/12),Plan!$D$9+IF(Plan!$E$9=$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IF(N(C122)&lt;=0,0,MIN(C122*(1+Plan!$C$10/12),Plan!$D$10+IF(Plan!$E$10=$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IF(N(D122)&lt;=0,0,MIN(D122*(1+Plan!$C$11/12),Plan!$D$11+IF(Plan!$E$11=$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IF(N(E122)&lt;=0,0,MIN(E122*(1+Plan!$C$12/12),Plan!$D$12+IF(Plan!$E$12=$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IF(N(F122)&lt;=0,0,MIN(F122*(1+Plan!$C$13/12),Plan!$D$13+IF(Plan!$E$13=$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IF(N(G122)&lt;=0,0,MIN(G122*(1+Plan!$C$14/12),Plan!$D$14+IF(Plan!$E$14=$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IF(N(H122)&lt;=0,0,MIN(H122*(1+Plan!$C$15/12),Plan!$D$15+IF(Plan!$E$15=$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IF(N(I122)&lt;=0,0,MIN(I122*(1+Plan!$C$16/12),Plan!$D$16+IF(Plan!$E$16=$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IF(N(J122)&lt;=0,0,MIN(J122*(1+Plan!$C$17/12),Plan!$D$17+IF(Plan!$E$17=$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IF(N(K122)&lt;=0,0,MIN(K122*(1+Plan!$C$18/12),Plan!$D$18+IF(Plan!$E$18=$L123,Plan!$B$5+IF(AND(N(Plan!$B$9)&gt;0,N(B122)&lt;=0),Plan!$D$9,0)+IF(AND(N(Plan!$B$10)&gt;0,N(C122)&lt;=0),Plan!$D$10,0)+IF(AND(N(Plan!$B$11)&gt;0,N(D122)&lt;=0),Plan!$D$11,0)+IF(AND(N(Plan!$B$12)&gt;0,N(E122)&lt;=0),Plan!$D$12,0)+IF(AND(N(Plan!$B$13)&gt;0,N(F122)&lt;=0),Plan!$D$13,0)+IF(AND(N(Plan!$B$14)&gt;0,N(G122)&lt;=0),Plan!$D$14,0)+IF(AND(N(Plan!$B$15)&gt;0,N(H122)&lt;=0),Plan!$D$15,0)+IF(AND(N(Plan!$B$16)&gt;0,N(I122)&lt;=0),Plan!$D$16,0)+IF(AND(N(Plan!$B$17)&gt;0,N(J122)&lt;=0),Plan!$D$17,0)+IF(AND(N(Plan!$B$18)&gt;0,N(K122)&lt;=0),Plan!$D$18,0),0)))</f>
        <v/>
      </c>
    </row>
    <row r="124">
      <c r="A124" s="17" t="n">
        <v>120</v>
      </c>
      <c r="B124" s="18">
        <f>IF(N(B123)&lt;=0,0,MAX(0,B123*(1+Plan!$C$9/12)-(Plan!$D$9+IF(Plan!$E$9=$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C124" s="18">
        <f>IF(N(C123)&lt;=0,0,MAX(0,C123*(1+Plan!$C$10/12)-(Plan!$D$10+IF(Plan!$E$10=$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D124" s="18">
        <f>IF(N(D123)&lt;=0,0,MAX(0,D123*(1+Plan!$C$11/12)-(Plan!$D$11+IF(Plan!$E$11=$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E124" s="18">
        <f>IF(N(E123)&lt;=0,0,MAX(0,E123*(1+Plan!$C$12/12)-(Plan!$D$12+IF(Plan!$E$12=$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F124" s="18">
        <f>IF(N(F123)&lt;=0,0,MAX(0,F123*(1+Plan!$C$13/12)-(Plan!$D$13+IF(Plan!$E$13=$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G124" s="18">
        <f>IF(N(G123)&lt;=0,0,MAX(0,G123*(1+Plan!$C$14/12)-(Plan!$D$14+IF(Plan!$E$14=$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H124" s="18">
        <f>IF(N(H123)&lt;=0,0,MAX(0,H123*(1+Plan!$C$15/12)-(Plan!$D$15+IF(Plan!$E$15=$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I124" s="18">
        <f>IF(N(I123)&lt;=0,0,MAX(0,I123*(1+Plan!$C$16/12)-(Plan!$D$16+IF(Plan!$E$16=$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J124" s="18">
        <f>IF(N(J123)&lt;=0,0,MAX(0,J123*(1+Plan!$C$17/12)-(Plan!$D$17+IF(Plan!$E$17=$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K124" s="18">
        <f>IF(N(K123)&lt;=0,0,MAX(0,K123*(1+Plan!$C$18/12)-(Plan!$D$18+IF(Plan!$E$18=$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c r="L124" s="19">
        <f>MIN(IF(N(B123)&gt;0,Plan!$E$9,999),IF(N(C123)&gt;0,Plan!$E$10,999),IF(N(D123)&gt;0,Plan!$E$11,999),IF(N(E123)&gt;0,Plan!$E$12,999),IF(N(F123)&gt;0,Plan!$E$13,999),IF(N(G123)&gt;0,Plan!$E$14,999),IF(N(H123)&gt;0,Plan!$E$15,999),IF(N(I123)&gt;0,Plan!$E$16,999),IF(N(J123)&gt;0,Plan!$E$17,999),IF(N(K123)&gt;0,Plan!$E$18,999))</f>
        <v/>
      </c>
      <c r="M124" s="18">
        <f>IF(N(B123)&lt;=0,0,MIN(B123*(1+Plan!$C$9/12),Plan!$D$9+IF(Plan!$E$9=$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IF(N(C123)&lt;=0,0,MIN(C123*(1+Plan!$C$10/12),Plan!$D$10+IF(Plan!$E$10=$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IF(N(D123)&lt;=0,0,MIN(D123*(1+Plan!$C$11/12),Plan!$D$11+IF(Plan!$E$11=$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IF(N(E123)&lt;=0,0,MIN(E123*(1+Plan!$C$12/12),Plan!$D$12+IF(Plan!$E$12=$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IF(N(F123)&lt;=0,0,MIN(F123*(1+Plan!$C$13/12),Plan!$D$13+IF(Plan!$E$13=$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IF(N(G123)&lt;=0,0,MIN(G123*(1+Plan!$C$14/12),Plan!$D$14+IF(Plan!$E$14=$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IF(N(H123)&lt;=0,0,MIN(H123*(1+Plan!$C$15/12),Plan!$D$15+IF(Plan!$E$15=$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IF(N(I123)&lt;=0,0,MIN(I123*(1+Plan!$C$16/12),Plan!$D$16+IF(Plan!$E$16=$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IF(N(J123)&lt;=0,0,MIN(J123*(1+Plan!$C$17/12),Plan!$D$17+IF(Plan!$E$17=$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IF(N(K123)&lt;=0,0,MIN(K123*(1+Plan!$C$18/12),Plan!$D$18+IF(Plan!$E$18=$L124,Plan!$B$5+IF(AND(N(Plan!$B$9)&gt;0,N(B123)&lt;=0),Plan!$D$9,0)+IF(AND(N(Plan!$B$10)&gt;0,N(C123)&lt;=0),Plan!$D$10,0)+IF(AND(N(Plan!$B$11)&gt;0,N(D123)&lt;=0),Plan!$D$11,0)+IF(AND(N(Plan!$B$12)&gt;0,N(E123)&lt;=0),Plan!$D$12,0)+IF(AND(N(Plan!$B$13)&gt;0,N(F123)&lt;=0),Plan!$D$13,0)+IF(AND(N(Plan!$B$14)&gt;0,N(G123)&lt;=0),Plan!$D$14,0)+IF(AND(N(Plan!$B$15)&gt;0,N(H123)&lt;=0),Plan!$D$15,0)+IF(AND(N(Plan!$B$16)&gt;0,N(I123)&lt;=0),Plan!$D$16,0)+IF(AND(N(Plan!$B$17)&gt;0,N(J123)&lt;=0),Plan!$D$17,0)+IF(AND(N(Plan!$B$18)&gt;0,N(K123)&lt;=0),Plan!$D$18,0),0)))</f>
        <v/>
      </c>
    </row>
    <row r="125">
      <c r="A125" s="17" t="n">
        <v>121</v>
      </c>
      <c r="B125" s="18">
        <f>IF(N(B124)&lt;=0,0,MAX(0,B124*(1+Plan!$C$9/12)-(Plan!$D$9+IF(Plan!$E$9=$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C125" s="18">
        <f>IF(N(C124)&lt;=0,0,MAX(0,C124*(1+Plan!$C$10/12)-(Plan!$D$10+IF(Plan!$E$10=$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D125" s="18">
        <f>IF(N(D124)&lt;=0,0,MAX(0,D124*(1+Plan!$C$11/12)-(Plan!$D$11+IF(Plan!$E$11=$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E125" s="18">
        <f>IF(N(E124)&lt;=0,0,MAX(0,E124*(1+Plan!$C$12/12)-(Plan!$D$12+IF(Plan!$E$12=$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F125" s="18">
        <f>IF(N(F124)&lt;=0,0,MAX(0,F124*(1+Plan!$C$13/12)-(Plan!$D$13+IF(Plan!$E$13=$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G125" s="18">
        <f>IF(N(G124)&lt;=0,0,MAX(0,G124*(1+Plan!$C$14/12)-(Plan!$D$14+IF(Plan!$E$14=$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H125" s="18">
        <f>IF(N(H124)&lt;=0,0,MAX(0,H124*(1+Plan!$C$15/12)-(Plan!$D$15+IF(Plan!$E$15=$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I125" s="18">
        <f>IF(N(I124)&lt;=0,0,MAX(0,I124*(1+Plan!$C$16/12)-(Plan!$D$16+IF(Plan!$E$16=$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J125" s="18">
        <f>IF(N(J124)&lt;=0,0,MAX(0,J124*(1+Plan!$C$17/12)-(Plan!$D$17+IF(Plan!$E$17=$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K125" s="18">
        <f>IF(N(K124)&lt;=0,0,MAX(0,K124*(1+Plan!$C$18/12)-(Plan!$D$18+IF(Plan!$E$18=$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c r="L125" s="19">
        <f>MIN(IF(N(B124)&gt;0,Plan!$E$9,999),IF(N(C124)&gt;0,Plan!$E$10,999),IF(N(D124)&gt;0,Plan!$E$11,999),IF(N(E124)&gt;0,Plan!$E$12,999),IF(N(F124)&gt;0,Plan!$E$13,999),IF(N(G124)&gt;0,Plan!$E$14,999),IF(N(H124)&gt;0,Plan!$E$15,999),IF(N(I124)&gt;0,Plan!$E$16,999),IF(N(J124)&gt;0,Plan!$E$17,999),IF(N(K124)&gt;0,Plan!$E$18,999))</f>
        <v/>
      </c>
      <c r="M125" s="18">
        <f>IF(N(B124)&lt;=0,0,MIN(B124*(1+Plan!$C$9/12),Plan!$D$9+IF(Plan!$E$9=$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IF(N(C124)&lt;=0,0,MIN(C124*(1+Plan!$C$10/12),Plan!$D$10+IF(Plan!$E$10=$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IF(N(D124)&lt;=0,0,MIN(D124*(1+Plan!$C$11/12),Plan!$D$11+IF(Plan!$E$11=$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IF(N(E124)&lt;=0,0,MIN(E124*(1+Plan!$C$12/12),Plan!$D$12+IF(Plan!$E$12=$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IF(N(F124)&lt;=0,0,MIN(F124*(1+Plan!$C$13/12),Plan!$D$13+IF(Plan!$E$13=$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IF(N(G124)&lt;=0,0,MIN(G124*(1+Plan!$C$14/12),Plan!$D$14+IF(Plan!$E$14=$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IF(N(H124)&lt;=0,0,MIN(H124*(1+Plan!$C$15/12),Plan!$D$15+IF(Plan!$E$15=$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IF(N(I124)&lt;=0,0,MIN(I124*(1+Plan!$C$16/12),Plan!$D$16+IF(Plan!$E$16=$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IF(N(J124)&lt;=0,0,MIN(J124*(1+Plan!$C$17/12),Plan!$D$17+IF(Plan!$E$17=$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IF(N(K124)&lt;=0,0,MIN(K124*(1+Plan!$C$18/12),Plan!$D$18+IF(Plan!$E$18=$L125,Plan!$B$5+IF(AND(N(Plan!$B$9)&gt;0,N(B124)&lt;=0),Plan!$D$9,0)+IF(AND(N(Plan!$B$10)&gt;0,N(C124)&lt;=0),Plan!$D$10,0)+IF(AND(N(Plan!$B$11)&gt;0,N(D124)&lt;=0),Plan!$D$11,0)+IF(AND(N(Plan!$B$12)&gt;0,N(E124)&lt;=0),Plan!$D$12,0)+IF(AND(N(Plan!$B$13)&gt;0,N(F124)&lt;=0),Plan!$D$13,0)+IF(AND(N(Plan!$B$14)&gt;0,N(G124)&lt;=0),Plan!$D$14,0)+IF(AND(N(Plan!$B$15)&gt;0,N(H124)&lt;=0),Plan!$D$15,0)+IF(AND(N(Plan!$B$16)&gt;0,N(I124)&lt;=0),Plan!$D$16,0)+IF(AND(N(Plan!$B$17)&gt;0,N(J124)&lt;=0),Plan!$D$17,0)+IF(AND(N(Plan!$B$18)&gt;0,N(K124)&lt;=0),Plan!$D$18,0),0)))</f>
        <v/>
      </c>
    </row>
    <row r="126">
      <c r="A126" s="17" t="n">
        <v>122</v>
      </c>
      <c r="B126" s="18">
        <f>IF(N(B125)&lt;=0,0,MAX(0,B125*(1+Plan!$C$9/12)-(Plan!$D$9+IF(Plan!$E$9=$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C126" s="18">
        <f>IF(N(C125)&lt;=0,0,MAX(0,C125*(1+Plan!$C$10/12)-(Plan!$D$10+IF(Plan!$E$10=$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D126" s="18">
        <f>IF(N(D125)&lt;=0,0,MAX(0,D125*(1+Plan!$C$11/12)-(Plan!$D$11+IF(Plan!$E$11=$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E126" s="18">
        <f>IF(N(E125)&lt;=0,0,MAX(0,E125*(1+Plan!$C$12/12)-(Plan!$D$12+IF(Plan!$E$12=$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F126" s="18">
        <f>IF(N(F125)&lt;=0,0,MAX(0,F125*(1+Plan!$C$13/12)-(Plan!$D$13+IF(Plan!$E$13=$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G126" s="18">
        <f>IF(N(G125)&lt;=0,0,MAX(0,G125*(1+Plan!$C$14/12)-(Plan!$D$14+IF(Plan!$E$14=$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H126" s="18">
        <f>IF(N(H125)&lt;=0,0,MAX(0,H125*(1+Plan!$C$15/12)-(Plan!$D$15+IF(Plan!$E$15=$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I126" s="18">
        <f>IF(N(I125)&lt;=0,0,MAX(0,I125*(1+Plan!$C$16/12)-(Plan!$D$16+IF(Plan!$E$16=$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J126" s="18">
        <f>IF(N(J125)&lt;=0,0,MAX(0,J125*(1+Plan!$C$17/12)-(Plan!$D$17+IF(Plan!$E$17=$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K126" s="18">
        <f>IF(N(K125)&lt;=0,0,MAX(0,K125*(1+Plan!$C$18/12)-(Plan!$D$18+IF(Plan!$E$18=$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c r="L126" s="19">
        <f>MIN(IF(N(B125)&gt;0,Plan!$E$9,999),IF(N(C125)&gt;0,Plan!$E$10,999),IF(N(D125)&gt;0,Plan!$E$11,999),IF(N(E125)&gt;0,Plan!$E$12,999),IF(N(F125)&gt;0,Plan!$E$13,999),IF(N(G125)&gt;0,Plan!$E$14,999),IF(N(H125)&gt;0,Plan!$E$15,999),IF(N(I125)&gt;0,Plan!$E$16,999),IF(N(J125)&gt;0,Plan!$E$17,999),IF(N(K125)&gt;0,Plan!$E$18,999))</f>
        <v/>
      </c>
      <c r="M126" s="18">
        <f>IF(N(B125)&lt;=0,0,MIN(B125*(1+Plan!$C$9/12),Plan!$D$9+IF(Plan!$E$9=$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IF(N(C125)&lt;=0,0,MIN(C125*(1+Plan!$C$10/12),Plan!$D$10+IF(Plan!$E$10=$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IF(N(D125)&lt;=0,0,MIN(D125*(1+Plan!$C$11/12),Plan!$D$11+IF(Plan!$E$11=$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IF(N(E125)&lt;=0,0,MIN(E125*(1+Plan!$C$12/12),Plan!$D$12+IF(Plan!$E$12=$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IF(N(F125)&lt;=0,0,MIN(F125*(1+Plan!$C$13/12),Plan!$D$13+IF(Plan!$E$13=$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IF(N(G125)&lt;=0,0,MIN(G125*(1+Plan!$C$14/12),Plan!$D$14+IF(Plan!$E$14=$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IF(N(H125)&lt;=0,0,MIN(H125*(1+Plan!$C$15/12),Plan!$D$15+IF(Plan!$E$15=$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IF(N(I125)&lt;=0,0,MIN(I125*(1+Plan!$C$16/12),Plan!$D$16+IF(Plan!$E$16=$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IF(N(J125)&lt;=0,0,MIN(J125*(1+Plan!$C$17/12),Plan!$D$17+IF(Plan!$E$17=$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IF(N(K125)&lt;=0,0,MIN(K125*(1+Plan!$C$18/12),Plan!$D$18+IF(Plan!$E$18=$L126,Plan!$B$5+IF(AND(N(Plan!$B$9)&gt;0,N(B125)&lt;=0),Plan!$D$9,0)+IF(AND(N(Plan!$B$10)&gt;0,N(C125)&lt;=0),Plan!$D$10,0)+IF(AND(N(Plan!$B$11)&gt;0,N(D125)&lt;=0),Plan!$D$11,0)+IF(AND(N(Plan!$B$12)&gt;0,N(E125)&lt;=0),Plan!$D$12,0)+IF(AND(N(Plan!$B$13)&gt;0,N(F125)&lt;=0),Plan!$D$13,0)+IF(AND(N(Plan!$B$14)&gt;0,N(G125)&lt;=0),Plan!$D$14,0)+IF(AND(N(Plan!$B$15)&gt;0,N(H125)&lt;=0),Plan!$D$15,0)+IF(AND(N(Plan!$B$16)&gt;0,N(I125)&lt;=0),Plan!$D$16,0)+IF(AND(N(Plan!$B$17)&gt;0,N(J125)&lt;=0),Plan!$D$17,0)+IF(AND(N(Plan!$B$18)&gt;0,N(K125)&lt;=0),Plan!$D$18,0),0)))</f>
        <v/>
      </c>
    </row>
    <row r="127">
      <c r="A127" s="17" t="n">
        <v>123</v>
      </c>
      <c r="B127" s="18">
        <f>IF(N(B126)&lt;=0,0,MAX(0,B126*(1+Plan!$C$9/12)-(Plan!$D$9+IF(Plan!$E$9=$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C127" s="18">
        <f>IF(N(C126)&lt;=0,0,MAX(0,C126*(1+Plan!$C$10/12)-(Plan!$D$10+IF(Plan!$E$10=$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D127" s="18">
        <f>IF(N(D126)&lt;=0,0,MAX(0,D126*(1+Plan!$C$11/12)-(Plan!$D$11+IF(Plan!$E$11=$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E127" s="18">
        <f>IF(N(E126)&lt;=0,0,MAX(0,E126*(1+Plan!$C$12/12)-(Plan!$D$12+IF(Plan!$E$12=$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F127" s="18">
        <f>IF(N(F126)&lt;=0,0,MAX(0,F126*(1+Plan!$C$13/12)-(Plan!$D$13+IF(Plan!$E$13=$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G127" s="18">
        <f>IF(N(G126)&lt;=0,0,MAX(0,G126*(1+Plan!$C$14/12)-(Plan!$D$14+IF(Plan!$E$14=$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H127" s="18">
        <f>IF(N(H126)&lt;=0,0,MAX(0,H126*(1+Plan!$C$15/12)-(Plan!$D$15+IF(Plan!$E$15=$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I127" s="18">
        <f>IF(N(I126)&lt;=0,0,MAX(0,I126*(1+Plan!$C$16/12)-(Plan!$D$16+IF(Plan!$E$16=$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J127" s="18">
        <f>IF(N(J126)&lt;=0,0,MAX(0,J126*(1+Plan!$C$17/12)-(Plan!$D$17+IF(Plan!$E$17=$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K127" s="18">
        <f>IF(N(K126)&lt;=0,0,MAX(0,K126*(1+Plan!$C$18/12)-(Plan!$D$18+IF(Plan!$E$18=$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c r="L127" s="19">
        <f>MIN(IF(N(B126)&gt;0,Plan!$E$9,999),IF(N(C126)&gt;0,Plan!$E$10,999),IF(N(D126)&gt;0,Plan!$E$11,999),IF(N(E126)&gt;0,Plan!$E$12,999),IF(N(F126)&gt;0,Plan!$E$13,999),IF(N(G126)&gt;0,Plan!$E$14,999),IF(N(H126)&gt;0,Plan!$E$15,999),IF(N(I126)&gt;0,Plan!$E$16,999),IF(N(J126)&gt;0,Plan!$E$17,999),IF(N(K126)&gt;0,Plan!$E$18,999))</f>
        <v/>
      </c>
      <c r="M127" s="18">
        <f>IF(N(B126)&lt;=0,0,MIN(B126*(1+Plan!$C$9/12),Plan!$D$9+IF(Plan!$E$9=$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IF(N(C126)&lt;=0,0,MIN(C126*(1+Plan!$C$10/12),Plan!$D$10+IF(Plan!$E$10=$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IF(N(D126)&lt;=0,0,MIN(D126*(1+Plan!$C$11/12),Plan!$D$11+IF(Plan!$E$11=$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IF(N(E126)&lt;=0,0,MIN(E126*(1+Plan!$C$12/12),Plan!$D$12+IF(Plan!$E$12=$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IF(N(F126)&lt;=0,0,MIN(F126*(1+Plan!$C$13/12),Plan!$D$13+IF(Plan!$E$13=$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IF(N(G126)&lt;=0,0,MIN(G126*(1+Plan!$C$14/12),Plan!$D$14+IF(Plan!$E$14=$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IF(N(H126)&lt;=0,0,MIN(H126*(1+Plan!$C$15/12),Plan!$D$15+IF(Plan!$E$15=$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IF(N(I126)&lt;=0,0,MIN(I126*(1+Plan!$C$16/12),Plan!$D$16+IF(Plan!$E$16=$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IF(N(J126)&lt;=0,0,MIN(J126*(1+Plan!$C$17/12),Plan!$D$17+IF(Plan!$E$17=$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IF(N(K126)&lt;=0,0,MIN(K126*(1+Plan!$C$18/12),Plan!$D$18+IF(Plan!$E$18=$L127,Plan!$B$5+IF(AND(N(Plan!$B$9)&gt;0,N(B126)&lt;=0),Plan!$D$9,0)+IF(AND(N(Plan!$B$10)&gt;0,N(C126)&lt;=0),Plan!$D$10,0)+IF(AND(N(Plan!$B$11)&gt;0,N(D126)&lt;=0),Plan!$D$11,0)+IF(AND(N(Plan!$B$12)&gt;0,N(E126)&lt;=0),Plan!$D$12,0)+IF(AND(N(Plan!$B$13)&gt;0,N(F126)&lt;=0),Plan!$D$13,0)+IF(AND(N(Plan!$B$14)&gt;0,N(G126)&lt;=0),Plan!$D$14,0)+IF(AND(N(Plan!$B$15)&gt;0,N(H126)&lt;=0),Plan!$D$15,0)+IF(AND(N(Plan!$B$16)&gt;0,N(I126)&lt;=0),Plan!$D$16,0)+IF(AND(N(Plan!$B$17)&gt;0,N(J126)&lt;=0),Plan!$D$17,0)+IF(AND(N(Plan!$B$18)&gt;0,N(K126)&lt;=0),Plan!$D$18,0),0)))</f>
        <v/>
      </c>
    </row>
    <row r="128">
      <c r="A128" s="17" t="n">
        <v>124</v>
      </c>
      <c r="B128" s="18">
        <f>IF(N(B127)&lt;=0,0,MAX(0,B127*(1+Plan!$C$9/12)-(Plan!$D$9+IF(Plan!$E$9=$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C128" s="18">
        <f>IF(N(C127)&lt;=0,0,MAX(0,C127*(1+Plan!$C$10/12)-(Plan!$D$10+IF(Plan!$E$10=$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D128" s="18">
        <f>IF(N(D127)&lt;=0,0,MAX(0,D127*(1+Plan!$C$11/12)-(Plan!$D$11+IF(Plan!$E$11=$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E128" s="18">
        <f>IF(N(E127)&lt;=0,0,MAX(0,E127*(1+Plan!$C$12/12)-(Plan!$D$12+IF(Plan!$E$12=$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F128" s="18">
        <f>IF(N(F127)&lt;=0,0,MAX(0,F127*(1+Plan!$C$13/12)-(Plan!$D$13+IF(Plan!$E$13=$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G128" s="18">
        <f>IF(N(G127)&lt;=0,0,MAX(0,G127*(1+Plan!$C$14/12)-(Plan!$D$14+IF(Plan!$E$14=$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H128" s="18">
        <f>IF(N(H127)&lt;=0,0,MAX(0,H127*(1+Plan!$C$15/12)-(Plan!$D$15+IF(Plan!$E$15=$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I128" s="18">
        <f>IF(N(I127)&lt;=0,0,MAX(0,I127*(1+Plan!$C$16/12)-(Plan!$D$16+IF(Plan!$E$16=$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J128" s="18">
        <f>IF(N(J127)&lt;=0,0,MAX(0,J127*(1+Plan!$C$17/12)-(Plan!$D$17+IF(Plan!$E$17=$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K128" s="18">
        <f>IF(N(K127)&lt;=0,0,MAX(0,K127*(1+Plan!$C$18/12)-(Plan!$D$18+IF(Plan!$E$18=$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c r="L128" s="19">
        <f>MIN(IF(N(B127)&gt;0,Plan!$E$9,999),IF(N(C127)&gt;0,Plan!$E$10,999),IF(N(D127)&gt;0,Plan!$E$11,999),IF(N(E127)&gt;0,Plan!$E$12,999),IF(N(F127)&gt;0,Plan!$E$13,999),IF(N(G127)&gt;0,Plan!$E$14,999),IF(N(H127)&gt;0,Plan!$E$15,999),IF(N(I127)&gt;0,Plan!$E$16,999),IF(N(J127)&gt;0,Plan!$E$17,999),IF(N(K127)&gt;0,Plan!$E$18,999))</f>
        <v/>
      </c>
      <c r="M128" s="18">
        <f>IF(N(B127)&lt;=0,0,MIN(B127*(1+Plan!$C$9/12),Plan!$D$9+IF(Plan!$E$9=$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IF(N(C127)&lt;=0,0,MIN(C127*(1+Plan!$C$10/12),Plan!$D$10+IF(Plan!$E$10=$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IF(N(D127)&lt;=0,0,MIN(D127*(1+Plan!$C$11/12),Plan!$D$11+IF(Plan!$E$11=$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IF(N(E127)&lt;=0,0,MIN(E127*(1+Plan!$C$12/12),Plan!$D$12+IF(Plan!$E$12=$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IF(N(F127)&lt;=0,0,MIN(F127*(1+Plan!$C$13/12),Plan!$D$13+IF(Plan!$E$13=$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IF(N(G127)&lt;=0,0,MIN(G127*(1+Plan!$C$14/12),Plan!$D$14+IF(Plan!$E$14=$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IF(N(H127)&lt;=0,0,MIN(H127*(1+Plan!$C$15/12),Plan!$D$15+IF(Plan!$E$15=$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IF(N(I127)&lt;=0,0,MIN(I127*(1+Plan!$C$16/12),Plan!$D$16+IF(Plan!$E$16=$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IF(N(J127)&lt;=0,0,MIN(J127*(1+Plan!$C$17/12),Plan!$D$17+IF(Plan!$E$17=$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IF(N(K127)&lt;=0,0,MIN(K127*(1+Plan!$C$18/12),Plan!$D$18+IF(Plan!$E$18=$L128,Plan!$B$5+IF(AND(N(Plan!$B$9)&gt;0,N(B127)&lt;=0),Plan!$D$9,0)+IF(AND(N(Plan!$B$10)&gt;0,N(C127)&lt;=0),Plan!$D$10,0)+IF(AND(N(Plan!$B$11)&gt;0,N(D127)&lt;=0),Plan!$D$11,0)+IF(AND(N(Plan!$B$12)&gt;0,N(E127)&lt;=0),Plan!$D$12,0)+IF(AND(N(Plan!$B$13)&gt;0,N(F127)&lt;=0),Plan!$D$13,0)+IF(AND(N(Plan!$B$14)&gt;0,N(G127)&lt;=0),Plan!$D$14,0)+IF(AND(N(Plan!$B$15)&gt;0,N(H127)&lt;=0),Plan!$D$15,0)+IF(AND(N(Plan!$B$16)&gt;0,N(I127)&lt;=0),Plan!$D$16,0)+IF(AND(N(Plan!$B$17)&gt;0,N(J127)&lt;=0),Plan!$D$17,0)+IF(AND(N(Plan!$B$18)&gt;0,N(K127)&lt;=0),Plan!$D$18,0),0)))</f>
        <v/>
      </c>
    </row>
    <row r="129">
      <c r="A129" s="17" t="n">
        <v>125</v>
      </c>
      <c r="B129" s="18">
        <f>IF(N(B128)&lt;=0,0,MAX(0,B128*(1+Plan!$C$9/12)-(Plan!$D$9+IF(Plan!$E$9=$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C129" s="18">
        <f>IF(N(C128)&lt;=0,0,MAX(0,C128*(1+Plan!$C$10/12)-(Plan!$D$10+IF(Plan!$E$10=$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D129" s="18">
        <f>IF(N(D128)&lt;=0,0,MAX(0,D128*(1+Plan!$C$11/12)-(Plan!$D$11+IF(Plan!$E$11=$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E129" s="18">
        <f>IF(N(E128)&lt;=0,0,MAX(0,E128*(1+Plan!$C$12/12)-(Plan!$D$12+IF(Plan!$E$12=$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F129" s="18">
        <f>IF(N(F128)&lt;=0,0,MAX(0,F128*(1+Plan!$C$13/12)-(Plan!$D$13+IF(Plan!$E$13=$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G129" s="18">
        <f>IF(N(G128)&lt;=0,0,MAX(0,G128*(1+Plan!$C$14/12)-(Plan!$D$14+IF(Plan!$E$14=$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H129" s="18">
        <f>IF(N(H128)&lt;=0,0,MAX(0,H128*(1+Plan!$C$15/12)-(Plan!$D$15+IF(Plan!$E$15=$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I129" s="18">
        <f>IF(N(I128)&lt;=0,0,MAX(0,I128*(1+Plan!$C$16/12)-(Plan!$D$16+IF(Plan!$E$16=$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J129" s="18">
        <f>IF(N(J128)&lt;=0,0,MAX(0,J128*(1+Plan!$C$17/12)-(Plan!$D$17+IF(Plan!$E$17=$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K129" s="18">
        <f>IF(N(K128)&lt;=0,0,MAX(0,K128*(1+Plan!$C$18/12)-(Plan!$D$18+IF(Plan!$E$18=$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c r="L129" s="19">
        <f>MIN(IF(N(B128)&gt;0,Plan!$E$9,999),IF(N(C128)&gt;0,Plan!$E$10,999),IF(N(D128)&gt;0,Plan!$E$11,999),IF(N(E128)&gt;0,Plan!$E$12,999),IF(N(F128)&gt;0,Plan!$E$13,999),IF(N(G128)&gt;0,Plan!$E$14,999),IF(N(H128)&gt;0,Plan!$E$15,999),IF(N(I128)&gt;0,Plan!$E$16,999),IF(N(J128)&gt;0,Plan!$E$17,999),IF(N(K128)&gt;0,Plan!$E$18,999))</f>
        <v/>
      </c>
      <c r="M129" s="18">
        <f>IF(N(B128)&lt;=0,0,MIN(B128*(1+Plan!$C$9/12),Plan!$D$9+IF(Plan!$E$9=$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IF(N(C128)&lt;=0,0,MIN(C128*(1+Plan!$C$10/12),Plan!$D$10+IF(Plan!$E$10=$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IF(N(D128)&lt;=0,0,MIN(D128*(1+Plan!$C$11/12),Plan!$D$11+IF(Plan!$E$11=$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IF(N(E128)&lt;=0,0,MIN(E128*(1+Plan!$C$12/12),Plan!$D$12+IF(Plan!$E$12=$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IF(N(F128)&lt;=0,0,MIN(F128*(1+Plan!$C$13/12),Plan!$D$13+IF(Plan!$E$13=$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IF(N(G128)&lt;=0,0,MIN(G128*(1+Plan!$C$14/12),Plan!$D$14+IF(Plan!$E$14=$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IF(N(H128)&lt;=0,0,MIN(H128*(1+Plan!$C$15/12),Plan!$D$15+IF(Plan!$E$15=$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IF(N(I128)&lt;=0,0,MIN(I128*(1+Plan!$C$16/12),Plan!$D$16+IF(Plan!$E$16=$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IF(N(J128)&lt;=0,0,MIN(J128*(1+Plan!$C$17/12),Plan!$D$17+IF(Plan!$E$17=$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IF(N(K128)&lt;=0,0,MIN(K128*(1+Plan!$C$18/12),Plan!$D$18+IF(Plan!$E$18=$L129,Plan!$B$5+IF(AND(N(Plan!$B$9)&gt;0,N(B128)&lt;=0),Plan!$D$9,0)+IF(AND(N(Plan!$B$10)&gt;0,N(C128)&lt;=0),Plan!$D$10,0)+IF(AND(N(Plan!$B$11)&gt;0,N(D128)&lt;=0),Plan!$D$11,0)+IF(AND(N(Plan!$B$12)&gt;0,N(E128)&lt;=0),Plan!$D$12,0)+IF(AND(N(Plan!$B$13)&gt;0,N(F128)&lt;=0),Plan!$D$13,0)+IF(AND(N(Plan!$B$14)&gt;0,N(G128)&lt;=0),Plan!$D$14,0)+IF(AND(N(Plan!$B$15)&gt;0,N(H128)&lt;=0),Plan!$D$15,0)+IF(AND(N(Plan!$B$16)&gt;0,N(I128)&lt;=0),Plan!$D$16,0)+IF(AND(N(Plan!$B$17)&gt;0,N(J128)&lt;=0),Plan!$D$17,0)+IF(AND(N(Plan!$B$18)&gt;0,N(K128)&lt;=0),Plan!$D$18,0),0)))</f>
        <v/>
      </c>
    </row>
    <row r="130">
      <c r="A130" s="17" t="n">
        <v>126</v>
      </c>
      <c r="B130" s="18">
        <f>IF(N(B129)&lt;=0,0,MAX(0,B129*(1+Plan!$C$9/12)-(Plan!$D$9+IF(Plan!$E$9=$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C130" s="18">
        <f>IF(N(C129)&lt;=0,0,MAX(0,C129*(1+Plan!$C$10/12)-(Plan!$D$10+IF(Plan!$E$10=$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D130" s="18">
        <f>IF(N(D129)&lt;=0,0,MAX(0,D129*(1+Plan!$C$11/12)-(Plan!$D$11+IF(Plan!$E$11=$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E130" s="18">
        <f>IF(N(E129)&lt;=0,0,MAX(0,E129*(1+Plan!$C$12/12)-(Plan!$D$12+IF(Plan!$E$12=$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F130" s="18">
        <f>IF(N(F129)&lt;=0,0,MAX(0,F129*(1+Plan!$C$13/12)-(Plan!$D$13+IF(Plan!$E$13=$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G130" s="18">
        <f>IF(N(G129)&lt;=0,0,MAX(0,G129*(1+Plan!$C$14/12)-(Plan!$D$14+IF(Plan!$E$14=$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H130" s="18">
        <f>IF(N(H129)&lt;=0,0,MAX(0,H129*(1+Plan!$C$15/12)-(Plan!$D$15+IF(Plan!$E$15=$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I130" s="18">
        <f>IF(N(I129)&lt;=0,0,MAX(0,I129*(1+Plan!$C$16/12)-(Plan!$D$16+IF(Plan!$E$16=$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J130" s="18">
        <f>IF(N(J129)&lt;=0,0,MAX(0,J129*(1+Plan!$C$17/12)-(Plan!$D$17+IF(Plan!$E$17=$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K130" s="18">
        <f>IF(N(K129)&lt;=0,0,MAX(0,K129*(1+Plan!$C$18/12)-(Plan!$D$18+IF(Plan!$E$18=$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c r="L130" s="19">
        <f>MIN(IF(N(B129)&gt;0,Plan!$E$9,999),IF(N(C129)&gt;0,Plan!$E$10,999),IF(N(D129)&gt;0,Plan!$E$11,999),IF(N(E129)&gt;0,Plan!$E$12,999),IF(N(F129)&gt;0,Plan!$E$13,999),IF(N(G129)&gt;0,Plan!$E$14,999),IF(N(H129)&gt;0,Plan!$E$15,999),IF(N(I129)&gt;0,Plan!$E$16,999),IF(N(J129)&gt;0,Plan!$E$17,999),IF(N(K129)&gt;0,Plan!$E$18,999))</f>
        <v/>
      </c>
      <c r="M130" s="18">
        <f>IF(N(B129)&lt;=0,0,MIN(B129*(1+Plan!$C$9/12),Plan!$D$9+IF(Plan!$E$9=$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IF(N(C129)&lt;=0,0,MIN(C129*(1+Plan!$C$10/12),Plan!$D$10+IF(Plan!$E$10=$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IF(N(D129)&lt;=0,0,MIN(D129*(1+Plan!$C$11/12),Plan!$D$11+IF(Plan!$E$11=$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IF(N(E129)&lt;=0,0,MIN(E129*(1+Plan!$C$12/12),Plan!$D$12+IF(Plan!$E$12=$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IF(N(F129)&lt;=0,0,MIN(F129*(1+Plan!$C$13/12),Plan!$D$13+IF(Plan!$E$13=$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IF(N(G129)&lt;=0,0,MIN(G129*(1+Plan!$C$14/12),Plan!$D$14+IF(Plan!$E$14=$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IF(N(H129)&lt;=0,0,MIN(H129*(1+Plan!$C$15/12),Plan!$D$15+IF(Plan!$E$15=$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IF(N(I129)&lt;=0,0,MIN(I129*(1+Plan!$C$16/12),Plan!$D$16+IF(Plan!$E$16=$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IF(N(J129)&lt;=0,0,MIN(J129*(1+Plan!$C$17/12),Plan!$D$17+IF(Plan!$E$17=$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IF(N(K129)&lt;=0,0,MIN(K129*(1+Plan!$C$18/12),Plan!$D$18+IF(Plan!$E$18=$L130,Plan!$B$5+IF(AND(N(Plan!$B$9)&gt;0,N(B129)&lt;=0),Plan!$D$9,0)+IF(AND(N(Plan!$B$10)&gt;0,N(C129)&lt;=0),Plan!$D$10,0)+IF(AND(N(Plan!$B$11)&gt;0,N(D129)&lt;=0),Plan!$D$11,0)+IF(AND(N(Plan!$B$12)&gt;0,N(E129)&lt;=0),Plan!$D$12,0)+IF(AND(N(Plan!$B$13)&gt;0,N(F129)&lt;=0),Plan!$D$13,0)+IF(AND(N(Plan!$B$14)&gt;0,N(G129)&lt;=0),Plan!$D$14,0)+IF(AND(N(Plan!$B$15)&gt;0,N(H129)&lt;=0),Plan!$D$15,0)+IF(AND(N(Plan!$B$16)&gt;0,N(I129)&lt;=0),Plan!$D$16,0)+IF(AND(N(Plan!$B$17)&gt;0,N(J129)&lt;=0),Plan!$D$17,0)+IF(AND(N(Plan!$B$18)&gt;0,N(K129)&lt;=0),Plan!$D$18,0),0)))</f>
        <v/>
      </c>
    </row>
    <row r="131">
      <c r="A131" s="17" t="n">
        <v>127</v>
      </c>
      <c r="B131" s="18">
        <f>IF(N(B130)&lt;=0,0,MAX(0,B130*(1+Plan!$C$9/12)-(Plan!$D$9+IF(Plan!$E$9=$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C131" s="18">
        <f>IF(N(C130)&lt;=0,0,MAX(0,C130*(1+Plan!$C$10/12)-(Plan!$D$10+IF(Plan!$E$10=$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D131" s="18">
        <f>IF(N(D130)&lt;=0,0,MAX(0,D130*(1+Plan!$C$11/12)-(Plan!$D$11+IF(Plan!$E$11=$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E131" s="18">
        <f>IF(N(E130)&lt;=0,0,MAX(0,E130*(1+Plan!$C$12/12)-(Plan!$D$12+IF(Plan!$E$12=$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F131" s="18">
        <f>IF(N(F130)&lt;=0,0,MAX(0,F130*(1+Plan!$C$13/12)-(Plan!$D$13+IF(Plan!$E$13=$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G131" s="18">
        <f>IF(N(G130)&lt;=0,0,MAX(0,G130*(1+Plan!$C$14/12)-(Plan!$D$14+IF(Plan!$E$14=$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H131" s="18">
        <f>IF(N(H130)&lt;=0,0,MAX(0,H130*(1+Plan!$C$15/12)-(Plan!$D$15+IF(Plan!$E$15=$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I131" s="18">
        <f>IF(N(I130)&lt;=0,0,MAX(0,I130*(1+Plan!$C$16/12)-(Plan!$D$16+IF(Plan!$E$16=$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J131" s="18">
        <f>IF(N(J130)&lt;=0,0,MAX(0,J130*(1+Plan!$C$17/12)-(Plan!$D$17+IF(Plan!$E$17=$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K131" s="18">
        <f>IF(N(K130)&lt;=0,0,MAX(0,K130*(1+Plan!$C$18/12)-(Plan!$D$18+IF(Plan!$E$18=$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c r="L131" s="19">
        <f>MIN(IF(N(B130)&gt;0,Plan!$E$9,999),IF(N(C130)&gt;0,Plan!$E$10,999),IF(N(D130)&gt;0,Plan!$E$11,999),IF(N(E130)&gt;0,Plan!$E$12,999),IF(N(F130)&gt;0,Plan!$E$13,999),IF(N(G130)&gt;0,Plan!$E$14,999),IF(N(H130)&gt;0,Plan!$E$15,999),IF(N(I130)&gt;0,Plan!$E$16,999),IF(N(J130)&gt;0,Plan!$E$17,999),IF(N(K130)&gt;0,Plan!$E$18,999))</f>
        <v/>
      </c>
      <c r="M131" s="18">
        <f>IF(N(B130)&lt;=0,0,MIN(B130*(1+Plan!$C$9/12),Plan!$D$9+IF(Plan!$E$9=$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IF(N(C130)&lt;=0,0,MIN(C130*(1+Plan!$C$10/12),Plan!$D$10+IF(Plan!$E$10=$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IF(N(D130)&lt;=0,0,MIN(D130*(1+Plan!$C$11/12),Plan!$D$11+IF(Plan!$E$11=$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IF(N(E130)&lt;=0,0,MIN(E130*(1+Plan!$C$12/12),Plan!$D$12+IF(Plan!$E$12=$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IF(N(F130)&lt;=0,0,MIN(F130*(1+Plan!$C$13/12),Plan!$D$13+IF(Plan!$E$13=$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IF(N(G130)&lt;=0,0,MIN(G130*(1+Plan!$C$14/12),Plan!$D$14+IF(Plan!$E$14=$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IF(N(H130)&lt;=0,0,MIN(H130*(1+Plan!$C$15/12),Plan!$D$15+IF(Plan!$E$15=$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IF(N(I130)&lt;=0,0,MIN(I130*(1+Plan!$C$16/12),Plan!$D$16+IF(Plan!$E$16=$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IF(N(J130)&lt;=0,0,MIN(J130*(1+Plan!$C$17/12),Plan!$D$17+IF(Plan!$E$17=$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IF(N(K130)&lt;=0,0,MIN(K130*(1+Plan!$C$18/12),Plan!$D$18+IF(Plan!$E$18=$L131,Plan!$B$5+IF(AND(N(Plan!$B$9)&gt;0,N(B130)&lt;=0),Plan!$D$9,0)+IF(AND(N(Plan!$B$10)&gt;0,N(C130)&lt;=0),Plan!$D$10,0)+IF(AND(N(Plan!$B$11)&gt;0,N(D130)&lt;=0),Plan!$D$11,0)+IF(AND(N(Plan!$B$12)&gt;0,N(E130)&lt;=0),Plan!$D$12,0)+IF(AND(N(Plan!$B$13)&gt;0,N(F130)&lt;=0),Plan!$D$13,0)+IF(AND(N(Plan!$B$14)&gt;0,N(G130)&lt;=0),Plan!$D$14,0)+IF(AND(N(Plan!$B$15)&gt;0,N(H130)&lt;=0),Plan!$D$15,0)+IF(AND(N(Plan!$B$16)&gt;0,N(I130)&lt;=0),Plan!$D$16,0)+IF(AND(N(Plan!$B$17)&gt;0,N(J130)&lt;=0),Plan!$D$17,0)+IF(AND(N(Plan!$B$18)&gt;0,N(K130)&lt;=0),Plan!$D$18,0),0)))</f>
        <v/>
      </c>
    </row>
    <row r="132">
      <c r="A132" s="17" t="n">
        <v>128</v>
      </c>
      <c r="B132" s="18">
        <f>IF(N(B131)&lt;=0,0,MAX(0,B131*(1+Plan!$C$9/12)-(Plan!$D$9+IF(Plan!$E$9=$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C132" s="18">
        <f>IF(N(C131)&lt;=0,0,MAX(0,C131*(1+Plan!$C$10/12)-(Plan!$D$10+IF(Plan!$E$10=$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D132" s="18">
        <f>IF(N(D131)&lt;=0,0,MAX(0,D131*(1+Plan!$C$11/12)-(Plan!$D$11+IF(Plan!$E$11=$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E132" s="18">
        <f>IF(N(E131)&lt;=0,0,MAX(0,E131*(1+Plan!$C$12/12)-(Plan!$D$12+IF(Plan!$E$12=$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F132" s="18">
        <f>IF(N(F131)&lt;=0,0,MAX(0,F131*(1+Plan!$C$13/12)-(Plan!$D$13+IF(Plan!$E$13=$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G132" s="18">
        <f>IF(N(G131)&lt;=0,0,MAX(0,G131*(1+Plan!$C$14/12)-(Plan!$D$14+IF(Plan!$E$14=$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H132" s="18">
        <f>IF(N(H131)&lt;=0,0,MAX(0,H131*(1+Plan!$C$15/12)-(Plan!$D$15+IF(Plan!$E$15=$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I132" s="18">
        <f>IF(N(I131)&lt;=0,0,MAX(0,I131*(1+Plan!$C$16/12)-(Plan!$D$16+IF(Plan!$E$16=$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J132" s="18">
        <f>IF(N(J131)&lt;=0,0,MAX(0,J131*(1+Plan!$C$17/12)-(Plan!$D$17+IF(Plan!$E$17=$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K132" s="18">
        <f>IF(N(K131)&lt;=0,0,MAX(0,K131*(1+Plan!$C$18/12)-(Plan!$D$18+IF(Plan!$E$18=$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c r="L132" s="19">
        <f>MIN(IF(N(B131)&gt;0,Plan!$E$9,999),IF(N(C131)&gt;0,Plan!$E$10,999),IF(N(D131)&gt;0,Plan!$E$11,999),IF(N(E131)&gt;0,Plan!$E$12,999),IF(N(F131)&gt;0,Plan!$E$13,999),IF(N(G131)&gt;0,Plan!$E$14,999),IF(N(H131)&gt;0,Plan!$E$15,999),IF(N(I131)&gt;0,Plan!$E$16,999),IF(N(J131)&gt;0,Plan!$E$17,999),IF(N(K131)&gt;0,Plan!$E$18,999))</f>
        <v/>
      </c>
      <c r="M132" s="18">
        <f>IF(N(B131)&lt;=0,0,MIN(B131*(1+Plan!$C$9/12),Plan!$D$9+IF(Plan!$E$9=$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IF(N(C131)&lt;=0,0,MIN(C131*(1+Plan!$C$10/12),Plan!$D$10+IF(Plan!$E$10=$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IF(N(D131)&lt;=0,0,MIN(D131*(1+Plan!$C$11/12),Plan!$D$11+IF(Plan!$E$11=$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IF(N(E131)&lt;=0,0,MIN(E131*(1+Plan!$C$12/12),Plan!$D$12+IF(Plan!$E$12=$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IF(N(F131)&lt;=0,0,MIN(F131*(1+Plan!$C$13/12),Plan!$D$13+IF(Plan!$E$13=$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IF(N(G131)&lt;=0,0,MIN(G131*(1+Plan!$C$14/12),Plan!$D$14+IF(Plan!$E$14=$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IF(N(H131)&lt;=0,0,MIN(H131*(1+Plan!$C$15/12),Plan!$D$15+IF(Plan!$E$15=$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IF(N(I131)&lt;=0,0,MIN(I131*(1+Plan!$C$16/12),Plan!$D$16+IF(Plan!$E$16=$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IF(N(J131)&lt;=0,0,MIN(J131*(1+Plan!$C$17/12),Plan!$D$17+IF(Plan!$E$17=$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IF(N(K131)&lt;=0,0,MIN(K131*(1+Plan!$C$18/12),Plan!$D$18+IF(Plan!$E$18=$L132,Plan!$B$5+IF(AND(N(Plan!$B$9)&gt;0,N(B131)&lt;=0),Plan!$D$9,0)+IF(AND(N(Plan!$B$10)&gt;0,N(C131)&lt;=0),Plan!$D$10,0)+IF(AND(N(Plan!$B$11)&gt;0,N(D131)&lt;=0),Plan!$D$11,0)+IF(AND(N(Plan!$B$12)&gt;0,N(E131)&lt;=0),Plan!$D$12,0)+IF(AND(N(Plan!$B$13)&gt;0,N(F131)&lt;=0),Plan!$D$13,0)+IF(AND(N(Plan!$B$14)&gt;0,N(G131)&lt;=0),Plan!$D$14,0)+IF(AND(N(Plan!$B$15)&gt;0,N(H131)&lt;=0),Plan!$D$15,0)+IF(AND(N(Plan!$B$16)&gt;0,N(I131)&lt;=0),Plan!$D$16,0)+IF(AND(N(Plan!$B$17)&gt;0,N(J131)&lt;=0),Plan!$D$17,0)+IF(AND(N(Plan!$B$18)&gt;0,N(K131)&lt;=0),Plan!$D$18,0),0)))</f>
        <v/>
      </c>
    </row>
    <row r="133">
      <c r="A133" s="17" t="n">
        <v>129</v>
      </c>
      <c r="B133" s="18">
        <f>IF(N(B132)&lt;=0,0,MAX(0,B132*(1+Plan!$C$9/12)-(Plan!$D$9+IF(Plan!$E$9=$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C133" s="18">
        <f>IF(N(C132)&lt;=0,0,MAX(0,C132*(1+Plan!$C$10/12)-(Plan!$D$10+IF(Plan!$E$10=$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D133" s="18">
        <f>IF(N(D132)&lt;=0,0,MAX(0,D132*(1+Plan!$C$11/12)-(Plan!$D$11+IF(Plan!$E$11=$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E133" s="18">
        <f>IF(N(E132)&lt;=0,0,MAX(0,E132*(1+Plan!$C$12/12)-(Plan!$D$12+IF(Plan!$E$12=$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F133" s="18">
        <f>IF(N(F132)&lt;=0,0,MAX(0,F132*(1+Plan!$C$13/12)-(Plan!$D$13+IF(Plan!$E$13=$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G133" s="18">
        <f>IF(N(G132)&lt;=0,0,MAX(0,G132*(1+Plan!$C$14/12)-(Plan!$D$14+IF(Plan!$E$14=$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H133" s="18">
        <f>IF(N(H132)&lt;=0,0,MAX(0,H132*(1+Plan!$C$15/12)-(Plan!$D$15+IF(Plan!$E$15=$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I133" s="18">
        <f>IF(N(I132)&lt;=0,0,MAX(0,I132*(1+Plan!$C$16/12)-(Plan!$D$16+IF(Plan!$E$16=$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J133" s="18">
        <f>IF(N(J132)&lt;=0,0,MAX(0,J132*(1+Plan!$C$17/12)-(Plan!$D$17+IF(Plan!$E$17=$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K133" s="18">
        <f>IF(N(K132)&lt;=0,0,MAX(0,K132*(1+Plan!$C$18/12)-(Plan!$D$18+IF(Plan!$E$18=$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c r="L133" s="19">
        <f>MIN(IF(N(B132)&gt;0,Plan!$E$9,999),IF(N(C132)&gt;0,Plan!$E$10,999),IF(N(D132)&gt;0,Plan!$E$11,999),IF(N(E132)&gt;0,Plan!$E$12,999),IF(N(F132)&gt;0,Plan!$E$13,999),IF(N(G132)&gt;0,Plan!$E$14,999),IF(N(H132)&gt;0,Plan!$E$15,999),IF(N(I132)&gt;0,Plan!$E$16,999),IF(N(J132)&gt;0,Plan!$E$17,999),IF(N(K132)&gt;0,Plan!$E$18,999))</f>
        <v/>
      </c>
      <c r="M133" s="18">
        <f>IF(N(B132)&lt;=0,0,MIN(B132*(1+Plan!$C$9/12),Plan!$D$9+IF(Plan!$E$9=$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IF(N(C132)&lt;=0,0,MIN(C132*(1+Plan!$C$10/12),Plan!$D$10+IF(Plan!$E$10=$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IF(N(D132)&lt;=0,0,MIN(D132*(1+Plan!$C$11/12),Plan!$D$11+IF(Plan!$E$11=$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IF(N(E132)&lt;=0,0,MIN(E132*(1+Plan!$C$12/12),Plan!$D$12+IF(Plan!$E$12=$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IF(N(F132)&lt;=0,0,MIN(F132*(1+Plan!$C$13/12),Plan!$D$13+IF(Plan!$E$13=$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IF(N(G132)&lt;=0,0,MIN(G132*(1+Plan!$C$14/12),Plan!$D$14+IF(Plan!$E$14=$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IF(N(H132)&lt;=0,0,MIN(H132*(1+Plan!$C$15/12),Plan!$D$15+IF(Plan!$E$15=$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IF(N(I132)&lt;=0,0,MIN(I132*(1+Plan!$C$16/12),Plan!$D$16+IF(Plan!$E$16=$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IF(N(J132)&lt;=0,0,MIN(J132*(1+Plan!$C$17/12),Plan!$D$17+IF(Plan!$E$17=$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IF(N(K132)&lt;=0,0,MIN(K132*(1+Plan!$C$18/12),Plan!$D$18+IF(Plan!$E$18=$L133,Plan!$B$5+IF(AND(N(Plan!$B$9)&gt;0,N(B132)&lt;=0),Plan!$D$9,0)+IF(AND(N(Plan!$B$10)&gt;0,N(C132)&lt;=0),Plan!$D$10,0)+IF(AND(N(Plan!$B$11)&gt;0,N(D132)&lt;=0),Plan!$D$11,0)+IF(AND(N(Plan!$B$12)&gt;0,N(E132)&lt;=0),Plan!$D$12,0)+IF(AND(N(Plan!$B$13)&gt;0,N(F132)&lt;=0),Plan!$D$13,0)+IF(AND(N(Plan!$B$14)&gt;0,N(G132)&lt;=0),Plan!$D$14,0)+IF(AND(N(Plan!$B$15)&gt;0,N(H132)&lt;=0),Plan!$D$15,0)+IF(AND(N(Plan!$B$16)&gt;0,N(I132)&lt;=0),Plan!$D$16,0)+IF(AND(N(Plan!$B$17)&gt;0,N(J132)&lt;=0),Plan!$D$17,0)+IF(AND(N(Plan!$B$18)&gt;0,N(K132)&lt;=0),Plan!$D$18,0),0)))</f>
        <v/>
      </c>
    </row>
    <row r="134">
      <c r="A134" s="17" t="n">
        <v>130</v>
      </c>
      <c r="B134" s="18">
        <f>IF(N(B133)&lt;=0,0,MAX(0,B133*(1+Plan!$C$9/12)-(Plan!$D$9+IF(Plan!$E$9=$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C134" s="18">
        <f>IF(N(C133)&lt;=0,0,MAX(0,C133*(1+Plan!$C$10/12)-(Plan!$D$10+IF(Plan!$E$10=$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D134" s="18">
        <f>IF(N(D133)&lt;=0,0,MAX(0,D133*(1+Plan!$C$11/12)-(Plan!$D$11+IF(Plan!$E$11=$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E134" s="18">
        <f>IF(N(E133)&lt;=0,0,MAX(0,E133*(1+Plan!$C$12/12)-(Plan!$D$12+IF(Plan!$E$12=$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F134" s="18">
        <f>IF(N(F133)&lt;=0,0,MAX(0,F133*(1+Plan!$C$13/12)-(Plan!$D$13+IF(Plan!$E$13=$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G134" s="18">
        <f>IF(N(G133)&lt;=0,0,MAX(0,G133*(1+Plan!$C$14/12)-(Plan!$D$14+IF(Plan!$E$14=$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H134" s="18">
        <f>IF(N(H133)&lt;=0,0,MAX(0,H133*(1+Plan!$C$15/12)-(Plan!$D$15+IF(Plan!$E$15=$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I134" s="18">
        <f>IF(N(I133)&lt;=0,0,MAX(0,I133*(1+Plan!$C$16/12)-(Plan!$D$16+IF(Plan!$E$16=$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J134" s="18">
        <f>IF(N(J133)&lt;=0,0,MAX(0,J133*(1+Plan!$C$17/12)-(Plan!$D$17+IF(Plan!$E$17=$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K134" s="18">
        <f>IF(N(K133)&lt;=0,0,MAX(0,K133*(1+Plan!$C$18/12)-(Plan!$D$18+IF(Plan!$E$18=$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c r="L134" s="19">
        <f>MIN(IF(N(B133)&gt;0,Plan!$E$9,999),IF(N(C133)&gt;0,Plan!$E$10,999),IF(N(D133)&gt;0,Plan!$E$11,999),IF(N(E133)&gt;0,Plan!$E$12,999),IF(N(F133)&gt;0,Plan!$E$13,999),IF(N(G133)&gt;0,Plan!$E$14,999),IF(N(H133)&gt;0,Plan!$E$15,999),IF(N(I133)&gt;0,Plan!$E$16,999),IF(N(J133)&gt;0,Plan!$E$17,999),IF(N(K133)&gt;0,Plan!$E$18,999))</f>
        <v/>
      </c>
      <c r="M134" s="18">
        <f>IF(N(B133)&lt;=0,0,MIN(B133*(1+Plan!$C$9/12),Plan!$D$9+IF(Plan!$E$9=$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IF(N(C133)&lt;=0,0,MIN(C133*(1+Plan!$C$10/12),Plan!$D$10+IF(Plan!$E$10=$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IF(N(D133)&lt;=0,0,MIN(D133*(1+Plan!$C$11/12),Plan!$D$11+IF(Plan!$E$11=$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IF(N(E133)&lt;=0,0,MIN(E133*(1+Plan!$C$12/12),Plan!$D$12+IF(Plan!$E$12=$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IF(N(F133)&lt;=0,0,MIN(F133*(1+Plan!$C$13/12),Plan!$D$13+IF(Plan!$E$13=$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IF(N(G133)&lt;=0,0,MIN(G133*(1+Plan!$C$14/12),Plan!$D$14+IF(Plan!$E$14=$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IF(N(H133)&lt;=0,0,MIN(H133*(1+Plan!$C$15/12),Plan!$D$15+IF(Plan!$E$15=$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IF(N(I133)&lt;=0,0,MIN(I133*(1+Plan!$C$16/12),Plan!$D$16+IF(Plan!$E$16=$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IF(N(J133)&lt;=0,0,MIN(J133*(1+Plan!$C$17/12),Plan!$D$17+IF(Plan!$E$17=$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IF(N(K133)&lt;=0,0,MIN(K133*(1+Plan!$C$18/12),Plan!$D$18+IF(Plan!$E$18=$L134,Plan!$B$5+IF(AND(N(Plan!$B$9)&gt;0,N(B133)&lt;=0),Plan!$D$9,0)+IF(AND(N(Plan!$B$10)&gt;0,N(C133)&lt;=0),Plan!$D$10,0)+IF(AND(N(Plan!$B$11)&gt;0,N(D133)&lt;=0),Plan!$D$11,0)+IF(AND(N(Plan!$B$12)&gt;0,N(E133)&lt;=0),Plan!$D$12,0)+IF(AND(N(Plan!$B$13)&gt;0,N(F133)&lt;=0),Plan!$D$13,0)+IF(AND(N(Plan!$B$14)&gt;0,N(G133)&lt;=0),Plan!$D$14,0)+IF(AND(N(Plan!$B$15)&gt;0,N(H133)&lt;=0),Plan!$D$15,0)+IF(AND(N(Plan!$B$16)&gt;0,N(I133)&lt;=0),Plan!$D$16,0)+IF(AND(N(Plan!$B$17)&gt;0,N(J133)&lt;=0),Plan!$D$17,0)+IF(AND(N(Plan!$B$18)&gt;0,N(K133)&lt;=0),Plan!$D$18,0),0)))</f>
        <v/>
      </c>
    </row>
    <row r="135">
      <c r="A135" s="17" t="n">
        <v>131</v>
      </c>
      <c r="B135" s="18">
        <f>IF(N(B134)&lt;=0,0,MAX(0,B134*(1+Plan!$C$9/12)-(Plan!$D$9+IF(Plan!$E$9=$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C135" s="18">
        <f>IF(N(C134)&lt;=0,0,MAX(0,C134*(1+Plan!$C$10/12)-(Plan!$D$10+IF(Plan!$E$10=$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D135" s="18">
        <f>IF(N(D134)&lt;=0,0,MAX(0,D134*(1+Plan!$C$11/12)-(Plan!$D$11+IF(Plan!$E$11=$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E135" s="18">
        <f>IF(N(E134)&lt;=0,0,MAX(0,E134*(1+Plan!$C$12/12)-(Plan!$D$12+IF(Plan!$E$12=$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F135" s="18">
        <f>IF(N(F134)&lt;=0,0,MAX(0,F134*(1+Plan!$C$13/12)-(Plan!$D$13+IF(Plan!$E$13=$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G135" s="18">
        <f>IF(N(G134)&lt;=0,0,MAX(0,G134*(1+Plan!$C$14/12)-(Plan!$D$14+IF(Plan!$E$14=$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H135" s="18">
        <f>IF(N(H134)&lt;=0,0,MAX(0,H134*(1+Plan!$C$15/12)-(Plan!$D$15+IF(Plan!$E$15=$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I135" s="18">
        <f>IF(N(I134)&lt;=0,0,MAX(0,I134*(1+Plan!$C$16/12)-(Plan!$D$16+IF(Plan!$E$16=$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J135" s="18">
        <f>IF(N(J134)&lt;=0,0,MAX(0,J134*(1+Plan!$C$17/12)-(Plan!$D$17+IF(Plan!$E$17=$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K135" s="18">
        <f>IF(N(K134)&lt;=0,0,MAX(0,K134*(1+Plan!$C$18/12)-(Plan!$D$18+IF(Plan!$E$18=$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c r="L135" s="19">
        <f>MIN(IF(N(B134)&gt;0,Plan!$E$9,999),IF(N(C134)&gt;0,Plan!$E$10,999),IF(N(D134)&gt;0,Plan!$E$11,999),IF(N(E134)&gt;0,Plan!$E$12,999),IF(N(F134)&gt;0,Plan!$E$13,999),IF(N(G134)&gt;0,Plan!$E$14,999),IF(N(H134)&gt;0,Plan!$E$15,999),IF(N(I134)&gt;0,Plan!$E$16,999),IF(N(J134)&gt;0,Plan!$E$17,999),IF(N(K134)&gt;0,Plan!$E$18,999))</f>
        <v/>
      </c>
      <c r="M135" s="18">
        <f>IF(N(B134)&lt;=0,0,MIN(B134*(1+Plan!$C$9/12),Plan!$D$9+IF(Plan!$E$9=$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IF(N(C134)&lt;=0,0,MIN(C134*(1+Plan!$C$10/12),Plan!$D$10+IF(Plan!$E$10=$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IF(N(D134)&lt;=0,0,MIN(D134*(1+Plan!$C$11/12),Plan!$D$11+IF(Plan!$E$11=$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IF(N(E134)&lt;=0,0,MIN(E134*(1+Plan!$C$12/12),Plan!$D$12+IF(Plan!$E$12=$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IF(N(F134)&lt;=0,0,MIN(F134*(1+Plan!$C$13/12),Plan!$D$13+IF(Plan!$E$13=$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IF(N(G134)&lt;=0,0,MIN(G134*(1+Plan!$C$14/12),Plan!$D$14+IF(Plan!$E$14=$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IF(N(H134)&lt;=0,0,MIN(H134*(1+Plan!$C$15/12),Plan!$D$15+IF(Plan!$E$15=$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IF(N(I134)&lt;=0,0,MIN(I134*(1+Plan!$C$16/12),Plan!$D$16+IF(Plan!$E$16=$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IF(N(J134)&lt;=0,0,MIN(J134*(1+Plan!$C$17/12),Plan!$D$17+IF(Plan!$E$17=$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IF(N(K134)&lt;=0,0,MIN(K134*(1+Plan!$C$18/12),Plan!$D$18+IF(Plan!$E$18=$L135,Plan!$B$5+IF(AND(N(Plan!$B$9)&gt;0,N(B134)&lt;=0),Plan!$D$9,0)+IF(AND(N(Plan!$B$10)&gt;0,N(C134)&lt;=0),Plan!$D$10,0)+IF(AND(N(Plan!$B$11)&gt;0,N(D134)&lt;=0),Plan!$D$11,0)+IF(AND(N(Plan!$B$12)&gt;0,N(E134)&lt;=0),Plan!$D$12,0)+IF(AND(N(Plan!$B$13)&gt;0,N(F134)&lt;=0),Plan!$D$13,0)+IF(AND(N(Plan!$B$14)&gt;0,N(G134)&lt;=0),Plan!$D$14,0)+IF(AND(N(Plan!$B$15)&gt;0,N(H134)&lt;=0),Plan!$D$15,0)+IF(AND(N(Plan!$B$16)&gt;0,N(I134)&lt;=0),Plan!$D$16,0)+IF(AND(N(Plan!$B$17)&gt;0,N(J134)&lt;=0),Plan!$D$17,0)+IF(AND(N(Plan!$B$18)&gt;0,N(K134)&lt;=0),Plan!$D$18,0),0)))</f>
        <v/>
      </c>
    </row>
    <row r="136">
      <c r="A136" s="17" t="n">
        <v>132</v>
      </c>
      <c r="B136" s="18">
        <f>IF(N(B135)&lt;=0,0,MAX(0,B135*(1+Plan!$C$9/12)-(Plan!$D$9+IF(Plan!$E$9=$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C136" s="18">
        <f>IF(N(C135)&lt;=0,0,MAX(0,C135*(1+Plan!$C$10/12)-(Plan!$D$10+IF(Plan!$E$10=$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D136" s="18">
        <f>IF(N(D135)&lt;=0,0,MAX(0,D135*(1+Plan!$C$11/12)-(Plan!$D$11+IF(Plan!$E$11=$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E136" s="18">
        <f>IF(N(E135)&lt;=0,0,MAX(0,E135*(1+Plan!$C$12/12)-(Plan!$D$12+IF(Plan!$E$12=$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F136" s="18">
        <f>IF(N(F135)&lt;=0,0,MAX(0,F135*(1+Plan!$C$13/12)-(Plan!$D$13+IF(Plan!$E$13=$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G136" s="18">
        <f>IF(N(G135)&lt;=0,0,MAX(0,G135*(1+Plan!$C$14/12)-(Plan!$D$14+IF(Plan!$E$14=$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H136" s="18">
        <f>IF(N(H135)&lt;=0,0,MAX(0,H135*(1+Plan!$C$15/12)-(Plan!$D$15+IF(Plan!$E$15=$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I136" s="18">
        <f>IF(N(I135)&lt;=0,0,MAX(0,I135*(1+Plan!$C$16/12)-(Plan!$D$16+IF(Plan!$E$16=$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J136" s="18">
        <f>IF(N(J135)&lt;=0,0,MAX(0,J135*(1+Plan!$C$17/12)-(Plan!$D$17+IF(Plan!$E$17=$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K136" s="18">
        <f>IF(N(K135)&lt;=0,0,MAX(0,K135*(1+Plan!$C$18/12)-(Plan!$D$18+IF(Plan!$E$18=$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c r="L136" s="19">
        <f>MIN(IF(N(B135)&gt;0,Plan!$E$9,999),IF(N(C135)&gt;0,Plan!$E$10,999),IF(N(D135)&gt;0,Plan!$E$11,999),IF(N(E135)&gt;0,Plan!$E$12,999),IF(N(F135)&gt;0,Plan!$E$13,999),IF(N(G135)&gt;0,Plan!$E$14,999),IF(N(H135)&gt;0,Plan!$E$15,999),IF(N(I135)&gt;0,Plan!$E$16,999),IF(N(J135)&gt;0,Plan!$E$17,999),IF(N(K135)&gt;0,Plan!$E$18,999))</f>
        <v/>
      </c>
      <c r="M136" s="18">
        <f>IF(N(B135)&lt;=0,0,MIN(B135*(1+Plan!$C$9/12),Plan!$D$9+IF(Plan!$E$9=$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IF(N(C135)&lt;=0,0,MIN(C135*(1+Plan!$C$10/12),Plan!$D$10+IF(Plan!$E$10=$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IF(N(D135)&lt;=0,0,MIN(D135*(1+Plan!$C$11/12),Plan!$D$11+IF(Plan!$E$11=$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IF(N(E135)&lt;=0,0,MIN(E135*(1+Plan!$C$12/12),Plan!$D$12+IF(Plan!$E$12=$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IF(N(F135)&lt;=0,0,MIN(F135*(1+Plan!$C$13/12),Plan!$D$13+IF(Plan!$E$13=$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IF(N(G135)&lt;=0,0,MIN(G135*(1+Plan!$C$14/12),Plan!$D$14+IF(Plan!$E$14=$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IF(N(H135)&lt;=0,0,MIN(H135*(1+Plan!$C$15/12),Plan!$D$15+IF(Plan!$E$15=$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IF(N(I135)&lt;=0,0,MIN(I135*(1+Plan!$C$16/12),Plan!$D$16+IF(Plan!$E$16=$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IF(N(J135)&lt;=0,0,MIN(J135*(1+Plan!$C$17/12),Plan!$D$17+IF(Plan!$E$17=$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IF(N(K135)&lt;=0,0,MIN(K135*(1+Plan!$C$18/12),Plan!$D$18+IF(Plan!$E$18=$L136,Plan!$B$5+IF(AND(N(Plan!$B$9)&gt;0,N(B135)&lt;=0),Plan!$D$9,0)+IF(AND(N(Plan!$B$10)&gt;0,N(C135)&lt;=0),Plan!$D$10,0)+IF(AND(N(Plan!$B$11)&gt;0,N(D135)&lt;=0),Plan!$D$11,0)+IF(AND(N(Plan!$B$12)&gt;0,N(E135)&lt;=0),Plan!$D$12,0)+IF(AND(N(Plan!$B$13)&gt;0,N(F135)&lt;=0),Plan!$D$13,0)+IF(AND(N(Plan!$B$14)&gt;0,N(G135)&lt;=0),Plan!$D$14,0)+IF(AND(N(Plan!$B$15)&gt;0,N(H135)&lt;=0),Plan!$D$15,0)+IF(AND(N(Plan!$B$16)&gt;0,N(I135)&lt;=0),Plan!$D$16,0)+IF(AND(N(Plan!$B$17)&gt;0,N(J135)&lt;=0),Plan!$D$17,0)+IF(AND(N(Plan!$B$18)&gt;0,N(K135)&lt;=0),Plan!$D$18,0),0)))</f>
        <v/>
      </c>
    </row>
    <row r="137">
      <c r="A137" s="17" t="n">
        <v>133</v>
      </c>
      <c r="B137" s="18">
        <f>IF(N(B136)&lt;=0,0,MAX(0,B136*(1+Plan!$C$9/12)-(Plan!$D$9+IF(Plan!$E$9=$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C137" s="18">
        <f>IF(N(C136)&lt;=0,0,MAX(0,C136*(1+Plan!$C$10/12)-(Plan!$D$10+IF(Plan!$E$10=$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D137" s="18">
        <f>IF(N(D136)&lt;=0,0,MAX(0,D136*(1+Plan!$C$11/12)-(Plan!$D$11+IF(Plan!$E$11=$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E137" s="18">
        <f>IF(N(E136)&lt;=0,0,MAX(0,E136*(1+Plan!$C$12/12)-(Plan!$D$12+IF(Plan!$E$12=$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F137" s="18">
        <f>IF(N(F136)&lt;=0,0,MAX(0,F136*(1+Plan!$C$13/12)-(Plan!$D$13+IF(Plan!$E$13=$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G137" s="18">
        <f>IF(N(G136)&lt;=0,0,MAX(0,G136*(1+Plan!$C$14/12)-(Plan!$D$14+IF(Plan!$E$14=$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H137" s="18">
        <f>IF(N(H136)&lt;=0,0,MAX(0,H136*(1+Plan!$C$15/12)-(Plan!$D$15+IF(Plan!$E$15=$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I137" s="18">
        <f>IF(N(I136)&lt;=0,0,MAX(0,I136*(1+Plan!$C$16/12)-(Plan!$D$16+IF(Plan!$E$16=$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J137" s="18">
        <f>IF(N(J136)&lt;=0,0,MAX(0,J136*(1+Plan!$C$17/12)-(Plan!$D$17+IF(Plan!$E$17=$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K137" s="18">
        <f>IF(N(K136)&lt;=0,0,MAX(0,K136*(1+Plan!$C$18/12)-(Plan!$D$18+IF(Plan!$E$18=$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c r="L137" s="19">
        <f>MIN(IF(N(B136)&gt;0,Plan!$E$9,999),IF(N(C136)&gt;0,Plan!$E$10,999),IF(N(D136)&gt;0,Plan!$E$11,999),IF(N(E136)&gt;0,Plan!$E$12,999),IF(N(F136)&gt;0,Plan!$E$13,999),IF(N(G136)&gt;0,Plan!$E$14,999),IF(N(H136)&gt;0,Plan!$E$15,999),IF(N(I136)&gt;0,Plan!$E$16,999),IF(N(J136)&gt;0,Plan!$E$17,999),IF(N(K136)&gt;0,Plan!$E$18,999))</f>
        <v/>
      </c>
      <c r="M137" s="18">
        <f>IF(N(B136)&lt;=0,0,MIN(B136*(1+Plan!$C$9/12),Plan!$D$9+IF(Plan!$E$9=$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IF(N(C136)&lt;=0,0,MIN(C136*(1+Plan!$C$10/12),Plan!$D$10+IF(Plan!$E$10=$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IF(N(D136)&lt;=0,0,MIN(D136*(1+Plan!$C$11/12),Plan!$D$11+IF(Plan!$E$11=$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IF(N(E136)&lt;=0,0,MIN(E136*(1+Plan!$C$12/12),Plan!$D$12+IF(Plan!$E$12=$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IF(N(F136)&lt;=0,0,MIN(F136*(1+Plan!$C$13/12),Plan!$D$13+IF(Plan!$E$13=$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IF(N(G136)&lt;=0,0,MIN(G136*(1+Plan!$C$14/12),Plan!$D$14+IF(Plan!$E$14=$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IF(N(H136)&lt;=0,0,MIN(H136*(1+Plan!$C$15/12),Plan!$D$15+IF(Plan!$E$15=$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IF(N(I136)&lt;=0,0,MIN(I136*(1+Plan!$C$16/12),Plan!$D$16+IF(Plan!$E$16=$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IF(N(J136)&lt;=0,0,MIN(J136*(1+Plan!$C$17/12),Plan!$D$17+IF(Plan!$E$17=$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IF(N(K136)&lt;=0,0,MIN(K136*(1+Plan!$C$18/12),Plan!$D$18+IF(Plan!$E$18=$L137,Plan!$B$5+IF(AND(N(Plan!$B$9)&gt;0,N(B136)&lt;=0),Plan!$D$9,0)+IF(AND(N(Plan!$B$10)&gt;0,N(C136)&lt;=0),Plan!$D$10,0)+IF(AND(N(Plan!$B$11)&gt;0,N(D136)&lt;=0),Plan!$D$11,0)+IF(AND(N(Plan!$B$12)&gt;0,N(E136)&lt;=0),Plan!$D$12,0)+IF(AND(N(Plan!$B$13)&gt;0,N(F136)&lt;=0),Plan!$D$13,0)+IF(AND(N(Plan!$B$14)&gt;0,N(G136)&lt;=0),Plan!$D$14,0)+IF(AND(N(Plan!$B$15)&gt;0,N(H136)&lt;=0),Plan!$D$15,0)+IF(AND(N(Plan!$B$16)&gt;0,N(I136)&lt;=0),Plan!$D$16,0)+IF(AND(N(Plan!$B$17)&gt;0,N(J136)&lt;=0),Plan!$D$17,0)+IF(AND(N(Plan!$B$18)&gt;0,N(K136)&lt;=0),Plan!$D$18,0),0)))</f>
        <v/>
      </c>
    </row>
    <row r="138">
      <c r="A138" s="17" t="n">
        <v>134</v>
      </c>
      <c r="B138" s="18">
        <f>IF(N(B137)&lt;=0,0,MAX(0,B137*(1+Plan!$C$9/12)-(Plan!$D$9+IF(Plan!$E$9=$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C138" s="18">
        <f>IF(N(C137)&lt;=0,0,MAX(0,C137*(1+Plan!$C$10/12)-(Plan!$D$10+IF(Plan!$E$10=$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D138" s="18">
        <f>IF(N(D137)&lt;=0,0,MAX(0,D137*(1+Plan!$C$11/12)-(Plan!$D$11+IF(Plan!$E$11=$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E138" s="18">
        <f>IF(N(E137)&lt;=0,0,MAX(0,E137*(1+Plan!$C$12/12)-(Plan!$D$12+IF(Plan!$E$12=$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F138" s="18">
        <f>IF(N(F137)&lt;=0,0,MAX(0,F137*(1+Plan!$C$13/12)-(Plan!$D$13+IF(Plan!$E$13=$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G138" s="18">
        <f>IF(N(G137)&lt;=0,0,MAX(0,G137*(1+Plan!$C$14/12)-(Plan!$D$14+IF(Plan!$E$14=$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H138" s="18">
        <f>IF(N(H137)&lt;=0,0,MAX(0,H137*(1+Plan!$C$15/12)-(Plan!$D$15+IF(Plan!$E$15=$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I138" s="18">
        <f>IF(N(I137)&lt;=0,0,MAX(0,I137*(1+Plan!$C$16/12)-(Plan!$D$16+IF(Plan!$E$16=$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J138" s="18">
        <f>IF(N(J137)&lt;=0,0,MAX(0,J137*(1+Plan!$C$17/12)-(Plan!$D$17+IF(Plan!$E$17=$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K138" s="18">
        <f>IF(N(K137)&lt;=0,0,MAX(0,K137*(1+Plan!$C$18/12)-(Plan!$D$18+IF(Plan!$E$18=$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c r="L138" s="19">
        <f>MIN(IF(N(B137)&gt;0,Plan!$E$9,999),IF(N(C137)&gt;0,Plan!$E$10,999),IF(N(D137)&gt;0,Plan!$E$11,999),IF(N(E137)&gt;0,Plan!$E$12,999),IF(N(F137)&gt;0,Plan!$E$13,999),IF(N(G137)&gt;0,Plan!$E$14,999),IF(N(H137)&gt;0,Plan!$E$15,999),IF(N(I137)&gt;0,Plan!$E$16,999),IF(N(J137)&gt;0,Plan!$E$17,999),IF(N(K137)&gt;0,Plan!$E$18,999))</f>
        <v/>
      </c>
      <c r="M138" s="18">
        <f>IF(N(B137)&lt;=0,0,MIN(B137*(1+Plan!$C$9/12),Plan!$D$9+IF(Plan!$E$9=$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IF(N(C137)&lt;=0,0,MIN(C137*(1+Plan!$C$10/12),Plan!$D$10+IF(Plan!$E$10=$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IF(N(D137)&lt;=0,0,MIN(D137*(1+Plan!$C$11/12),Plan!$D$11+IF(Plan!$E$11=$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IF(N(E137)&lt;=0,0,MIN(E137*(1+Plan!$C$12/12),Plan!$D$12+IF(Plan!$E$12=$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IF(N(F137)&lt;=0,0,MIN(F137*(1+Plan!$C$13/12),Plan!$D$13+IF(Plan!$E$13=$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IF(N(G137)&lt;=0,0,MIN(G137*(1+Plan!$C$14/12),Plan!$D$14+IF(Plan!$E$14=$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IF(N(H137)&lt;=0,0,MIN(H137*(1+Plan!$C$15/12),Plan!$D$15+IF(Plan!$E$15=$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IF(N(I137)&lt;=0,0,MIN(I137*(1+Plan!$C$16/12),Plan!$D$16+IF(Plan!$E$16=$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IF(N(J137)&lt;=0,0,MIN(J137*(1+Plan!$C$17/12),Plan!$D$17+IF(Plan!$E$17=$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IF(N(K137)&lt;=0,0,MIN(K137*(1+Plan!$C$18/12),Plan!$D$18+IF(Plan!$E$18=$L138,Plan!$B$5+IF(AND(N(Plan!$B$9)&gt;0,N(B137)&lt;=0),Plan!$D$9,0)+IF(AND(N(Plan!$B$10)&gt;0,N(C137)&lt;=0),Plan!$D$10,0)+IF(AND(N(Plan!$B$11)&gt;0,N(D137)&lt;=0),Plan!$D$11,0)+IF(AND(N(Plan!$B$12)&gt;0,N(E137)&lt;=0),Plan!$D$12,0)+IF(AND(N(Plan!$B$13)&gt;0,N(F137)&lt;=0),Plan!$D$13,0)+IF(AND(N(Plan!$B$14)&gt;0,N(G137)&lt;=0),Plan!$D$14,0)+IF(AND(N(Plan!$B$15)&gt;0,N(H137)&lt;=0),Plan!$D$15,0)+IF(AND(N(Plan!$B$16)&gt;0,N(I137)&lt;=0),Plan!$D$16,0)+IF(AND(N(Plan!$B$17)&gt;0,N(J137)&lt;=0),Plan!$D$17,0)+IF(AND(N(Plan!$B$18)&gt;0,N(K137)&lt;=0),Plan!$D$18,0),0)))</f>
        <v/>
      </c>
    </row>
    <row r="139">
      <c r="A139" s="17" t="n">
        <v>135</v>
      </c>
      <c r="B139" s="18">
        <f>IF(N(B138)&lt;=0,0,MAX(0,B138*(1+Plan!$C$9/12)-(Plan!$D$9+IF(Plan!$E$9=$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C139" s="18">
        <f>IF(N(C138)&lt;=0,0,MAX(0,C138*(1+Plan!$C$10/12)-(Plan!$D$10+IF(Plan!$E$10=$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D139" s="18">
        <f>IF(N(D138)&lt;=0,0,MAX(0,D138*(1+Plan!$C$11/12)-(Plan!$D$11+IF(Plan!$E$11=$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E139" s="18">
        <f>IF(N(E138)&lt;=0,0,MAX(0,E138*(1+Plan!$C$12/12)-(Plan!$D$12+IF(Plan!$E$12=$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F139" s="18">
        <f>IF(N(F138)&lt;=0,0,MAX(0,F138*(1+Plan!$C$13/12)-(Plan!$D$13+IF(Plan!$E$13=$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G139" s="18">
        <f>IF(N(G138)&lt;=0,0,MAX(0,G138*(1+Plan!$C$14/12)-(Plan!$D$14+IF(Plan!$E$14=$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H139" s="18">
        <f>IF(N(H138)&lt;=0,0,MAX(0,H138*(1+Plan!$C$15/12)-(Plan!$D$15+IF(Plan!$E$15=$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I139" s="18">
        <f>IF(N(I138)&lt;=0,0,MAX(0,I138*(1+Plan!$C$16/12)-(Plan!$D$16+IF(Plan!$E$16=$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J139" s="18">
        <f>IF(N(J138)&lt;=0,0,MAX(0,J138*(1+Plan!$C$17/12)-(Plan!$D$17+IF(Plan!$E$17=$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K139" s="18">
        <f>IF(N(K138)&lt;=0,0,MAX(0,K138*(1+Plan!$C$18/12)-(Plan!$D$18+IF(Plan!$E$18=$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c r="L139" s="19">
        <f>MIN(IF(N(B138)&gt;0,Plan!$E$9,999),IF(N(C138)&gt;0,Plan!$E$10,999),IF(N(D138)&gt;0,Plan!$E$11,999),IF(N(E138)&gt;0,Plan!$E$12,999),IF(N(F138)&gt;0,Plan!$E$13,999),IF(N(G138)&gt;0,Plan!$E$14,999),IF(N(H138)&gt;0,Plan!$E$15,999),IF(N(I138)&gt;0,Plan!$E$16,999),IF(N(J138)&gt;0,Plan!$E$17,999),IF(N(K138)&gt;0,Plan!$E$18,999))</f>
        <v/>
      </c>
      <c r="M139" s="18">
        <f>IF(N(B138)&lt;=0,0,MIN(B138*(1+Plan!$C$9/12),Plan!$D$9+IF(Plan!$E$9=$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IF(N(C138)&lt;=0,0,MIN(C138*(1+Plan!$C$10/12),Plan!$D$10+IF(Plan!$E$10=$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IF(N(D138)&lt;=0,0,MIN(D138*(1+Plan!$C$11/12),Plan!$D$11+IF(Plan!$E$11=$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IF(N(E138)&lt;=0,0,MIN(E138*(1+Plan!$C$12/12),Plan!$D$12+IF(Plan!$E$12=$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IF(N(F138)&lt;=0,0,MIN(F138*(1+Plan!$C$13/12),Plan!$D$13+IF(Plan!$E$13=$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IF(N(G138)&lt;=0,0,MIN(G138*(1+Plan!$C$14/12),Plan!$D$14+IF(Plan!$E$14=$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IF(N(H138)&lt;=0,0,MIN(H138*(1+Plan!$C$15/12),Plan!$D$15+IF(Plan!$E$15=$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IF(N(I138)&lt;=0,0,MIN(I138*(1+Plan!$C$16/12),Plan!$D$16+IF(Plan!$E$16=$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IF(N(J138)&lt;=0,0,MIN(J138*(1+Plan!$C$17/12),Plan!$D$17+IF(Plan!$E$17=$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IF(N(K138)&lt;=0,0,MIN(K138*(1+Plan!$C$18/12),Plan!$D$18+IF(Plan!$E$18=$L139,Plan!$B$5+IF(AND(N(Plan!$B$9)&gt;0,N(B138)&lt;=0),Plan!$D$9,0)+IF(AND(N(Plan!$B$10)&gt;0,N(C138)&lt;=0),Plan!$D$10,0)+IF(AND(N(Plan!$B$11)&gt;0,N(D138)&lt;=0),Plan!$D$11,0)+IF(AND(N(Plan!$B$12)&gt;0,N(E138)&lt;=0),Plan!$D$12,0)+IF(AND(N(Plan!$B$13)&gt;0,N(F138)&lt;=0),Plan!$D$13,0)+IF(AND(N(Plan!$B$14)&gt;0,N(G138)&lt;=0),Plan!$D$14,0)+IF(AND(N(Plan!$B$15)&gt;0,N(H138)&lt;=0),Plan!$D$15,0)+IF(AND(N(Plan!$B$16)&gt;0,N(I138)&lt;=0),Plan!$D$16,0)+IF(AND(N(Plan!$B$17)&gt;0,N(J138)&lt;=0),Plan!$D$17,0)+IF(AND(N(Plan!$B$18)&gt;0,N(K138)&lt;=0),Plan!$D$18,0),0)))</f>
        <v/>
      </c>
    </row>
    <row r="140">
      <c r="A140" s="17" t="n">
        <v>136</v>
      </c>
      <c r="B140" s="18">
        <f>IF(N(B139)&lt;=0,0,MAX(0,B139*(1+Plan!$C$9/12)-(Plan!$D$9+IF(Plan!$E$9=$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C140" s="18">
        <f>IF(N(C139)&lt;=0,0,MAX(0,C139*(1+Plan!$C$10/12)-(Plan!$D$10+IF(Plan!$E$10=$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D140" s="18">
        <f>IF(N(D139)&lt;=0,0,MAX(0,D139*(1+Plan!$C$11/12)-(Plan!$D$11+IF(Plan!$E$11=$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E140" s="18">
        <f>IF(N(E139)&lt;=0,0,MAX(0,E139*(1+Plan!$C$12/12)-(Plan!$D$12+IF(Plan!$E$12=$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F140" s="18">
        <f>IF(N(F139)&lt;=0,0,MAX(0,F139*(1+Plan!$C$13/12)-(Plan!$D$13+IF(Plan!$E$13=$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G140" s="18">
        <f>IF(N(G139)&lt;=0,0,MAX(0,G139*(1+Plan!$C$14/12)-(Plan!$D$14+IF(Plan!$E$14=$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H140" s="18">
        <f>IF(N(H139)&lt;=0,0,MAX(0,H139*(1+Plan!$C$15/12)-(Plan!$D$15+IF(Plan!$E$15=$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I140" s="18">
        <f>IF(N(I139)&lt;=0,0,MAX(0,I139*(1+Plan!$C$16/12)-(Plan!$D$16+IF(Plan!$E$16=$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J140" s="18">
        <f>IF(N(J139)&lt;=0,0,MAX(0,J139*(1+Plan!$C$17/12)-(Plan!$D$17+IF(Plan!$E$17=$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K140" s="18">
        <f>IF(N(K139)&lt;=0,0,MAX(0,K139*(1+Plan!$C$18/12)-(Plan!$D$18+IF(Plan!$E$18=$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c r="L140" s="19">
        <f>MIN(IF(N(B139)&gt;0,Plan!$E$9,999),IF(N(C139)&gt;0,Plan!$E$10,999),IF(N(D139)&gt;0,Plan!$E$11,999),IF(N(E139)&gt;0,Plan!$E$12,999),IF(N(F139)&gt;0,Plan!$E$13,999),IF(N(G139)&gt;0,Plan!$E$14,999),IF(N(H139)&gt;0,Plan!$E$15,999),IF(N(I139)&gt;0,Plan!$E$16,999),IF(N(J139)&gt;0,Plan!$E$17,999),IF(N(K139)&gt;0,Plan!$E$18,999))</f>
        <v/>
      </c>
      <c r="M140" s="18">
        <f>IF(N(B139)&lt;=0,0,MIN(B139*(1+Plan!$C$9/12),Plan!$D$9+IF(Plan!$E$9=$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IF(N(C139)&lt;=0,0,MIN(C139*(1+Plan!$C$10/12),Plan!$D$10+IF(Plan!$E$10=$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IF(N(D139)&lt;=0,0,MIN(D139*(1+Plan!$C$11/12),Plan!$D$11+IF(Plan!$E$11=$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IF(N(E139)&lt;=0,0,MIN(E139*(1+Plan!$C$12/12),Plan!$D$12+IF(Plan!$E$12=$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IF(N(F139)&lt;=0,0,MIN(F139*(1+Plan!$C$13/12),Plan!$D$13+IF(Plan!$E$13=$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IF(N(G139)&lt;=0,0,MIN(G139*(1+Plan!$C$14/12),Plan!$D$14+IF(Plan!$E$14=$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IF(N(H139)&lt;=0,0,MIN(H139*(1+Plan!$C$15/12),Plan!$D$15+IF(Plan!$E$15=$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IF(N(I139)&lt;=0,0,MIN(I139*(1+Plan!$C$16/12),Plan!$D$16+IF(Plan!$E$16=$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IF(N(J139)&lt;=0,0,MIN(J139*(1+Plan!$C$17/12),Plan!$D$17+IF(Plan!$E$17=$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IF(N(K139)&lt;=0,0,MIN(K139*(1+Plan!$C$18/12),Plan!$D$18+IF(Plan!$E$18=$L140,Plan!$B$5+IF(AND(N(Plan!$B$9)&gt;0,N(B139)&lt;=0),Plan!$D$9,0)+IF(AND(N(Plan!$B$10)&gt;0,N(C139)&lt;=0),Plan!$D$10,0)+IF(AND(N(Plan!$B$11)&gt;0,N(D139)&lt;=0),Plan!$D$11,0)+IF(AND(N(Plan!$B$12)&gt;0,N(E139)&lt;=0),Plan!$D$12,0)+IF(AND(N(Plan!$B$13)&gt;0,N(F139)&lt;=0),Plan!$D$13,0)+IF(AND(N(Plan!$B$14)&gt;0,N(G139)&lt;=0),Plan!$D$14,0)+IF(AND(N(Plan!$B$15)&gt;0,N(H139)&lt;=0),Plan!$D$15,0)+IF(AND(N(Plan!$B$16)&gt;0,N(I139)&lt;=0),Plan!$D$16,0)+IF(AND(N(Plan!$B$17)&gt;0,N(J139)&lt;=0),Plan!$D$17,0)+IF(AND(N(Plan!$B$18)&gt;0,N(K139)&lt;=0),Plan!$D$18,0),0)))</f>
        <v/>
      </c>
    </row>
    <row r="141">
      <c r="A141" s="17" t="n">
        <v>137</v>
      </c>
      <c r="B141" s="18">
        <f>IF(N(B140)&lt;=0,0,MAX(0,B140*(1+Plan!$C$9/12)-(Plan!$D$9+IF(Plan!$E$9=$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C141" s="18">
        <f>IF(N(C140)&lt;=0,0,MAX(0,C140*(1+Plan!$C$10/12)-(Plan!$D$10+IF(Plan!$E$10=$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D141" s="18">
        <f>IF(N(D140)&lt;=0,0,MAX(0,D140*(1+Plan!$C$11/12)-(Plan!$D$11+IF(Plan!$E$11=$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E141" s="18">
        <f>IF(N(E140)&lt;=0,0,MAX(0,E140*(1+Plan!$C$12/12)-(Plan!$D$12+IF(Plan!$E$12=$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F141" s="18">
        <f>IF(N(F140)&lt;=0,0,MAX(0,F140*(1+Plan!$C$13/12)-(Plan!$D$13+IF(Plan!$E$13=$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G141" s="18">
        <f>IF(N(G140)&lt;=0,0,MAX(0,G140*(1+Plan!$C$14/12)-(Plan!$D$14+IF(Plan!$E$14=$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H141" s="18">
        <f>IF(N(H140)&lt;=0,0,MAX(0,H140*(1+Plan!$C$15/12)-(Plan!$D$15+IF(Plan!$E$15=$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I141" s="18">
        <f>IF(N(I140)&lt;=0,0,MAX(0,I140*(1+Plan!$C$16/12)-(Plan!$D$16+IF(Plan!$E$16=$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J141" s="18">
        <f>IF(N(J140)&lt;=0,0,MAX(0,J140*(1+Plan!$C$17/12)-(Plan!$D$17+IF(Plan!$E$17=$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K141" s="18">
        <f>IF(N(K140)&lt;=0,0,MAX(0,K140*(1+Plan!$C$18/12)-(Plan!$D$18+IF(Plan!$E$18=$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c r="L141" s="19">
        <f>MIN(IF(N(B140)&gt;0,Plan!$E$9,999),IF(N(C140)&gt;0,Plan!$E$10,999),IF(N(D140)&gt;0,Plan!$E$11,999),IF(N(E140)&gt;0,Plan!$E$12,999),IF(N(F140)&gt;0,Plan!$E$13,999),IF(N(G140)&gt;0,Plan!$E$14,999),IF(N(H140)&gt;0,Plan!$E$15,999),IF(N(I140)&gt;0,Plan!$E$16,999),IF(N(J140)&gt;0,Plan!$E$17,999),IF(N(K140)&gt;0,Plan!$E$18,999))</f>
        <v/>
      </c>
      <c r="M141" s="18">
        <f>IF(N(B140)&lt;=0,0,MIN(B140*(1+Plan!$C$9/12),Plan!$D$9+IF(Plan!$E$9=$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IF(N(C140)&lt;=0,0,MIN(C140*(1+Plan!$C$10/12),Plan!$D$10+IF(Plan!$E$10=$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IF(N(D140)&lt;=0,0,MIN(D140*(1+Plan!$C$11/12),Plan!$D$11+IF(Plan!$E$11=$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IF(N(E140)&lt;=0,0,MIN(E140*(1+Plan!$C$12/12),Plan!$D$12+IF(Plan!$E$12=$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IF(N(F140)&lt;=0,0,MIN(F140*(1+Plan!$C$13/12),Plan!$D$13+IF(Plan!$E$13=$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IF(N(G140)&lt;=0,0,MIN(G140*(1+Plan!$C$14/12),Plan!$D$14+IF(Plan!$E$14=$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IF(N(H140)&lt;=0,0,MIN(H140*(1+Plan!$C$15/12),Plan!$D$15+IF(Plan!$E$15=$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IF(N(I140)&lt;=0,0,MIN(I140*(1+Plan!$C$16/12),Plan!$D$16+IF(Plan!$E$16=$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IF(N(J140)&lt;=0,0,MIN(J140*(1+Plan!$C$17/12),Plan!$D$17+IF(Plan!$E$17=$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IF(N(K140)&lt;=0,0,MIN(K140*(1+Plan!$C$18/12),Plan!$D$18+IF(Plan!$E$18=$L141,Plan!$B$5+IF(AND(N(Plan!$B$9)&gt;0,N(B140)&lt;=0),Plan!$D$9,0)+IF(AND(N(Plan!$B$10)&gt;0,N(C140)&lt;=0),Plan!$D$10,0)+IF(AND(N(Plan!$B$11)&gt;0,N(D140)&lt;=0),Plan!$D$11,0)+IF(AND(N(Plan!$B$12)&gt;0,N(E140)&lt;=0),Plan!$D$12,0)+IF(AND(N(Plan!$B$13)&gt;0,N(F140)&lt;=0),Plan!$D$13,0)+IF(AND(N(Plan!$B$14)&gt;0,N(G140)&lt;=0),Plan!$D$14,0)+IF(AND(N(Plan!$B$15)&gt;0,N(H140)&lt;=0),Plan!$D$15,0)+IF(AND(N(Plan!$B$16)&gt;0,N(I140)&lt;=0),Plan!$D$16,0)+IF(AND(N(Plan!$B$17)&gt;0,N(J140)&lt;=0),Plan!$D$17,0)+IF(AND(N(Plan!$B$18)&gt;0,N(K140)&lt;=0),Plan!$D$18,0),0)))</f>
        <v/>
      </c>
    </row>
    <row r="142">
      <c r="A142" s="17" t="n">
        <v>138</v>
      </c>
      <c r="B142" s="18">
        <f>IF(N(B141)&lt;=0,0,MAX(0,B141*(1+Plan!$C$9/12)-(Plan!$D$9+IF(Plan!$E$9=$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C142" s="18">
        <f>IF(N(C141)&lt;=0,0,MAX(0,C141*(1+Plan!$C$10/12)-(Plan!$D$10+IF(Plan!$E$10=$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D142" s="18">
        <f>IF(N(D141)&lt;=0,0,MAX(0,D141*(1+Plan!$C$11/12)-(Plan!$D$11+IF(Plan!$E$11=$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E142" s="18">
        <f>IF(N(E141)&lt;=0,0,MAX(0,E141*(1+Plan!$C$12/12)-(Plan!$D$12+IF(Plan!$E$12=$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F142" s="18">
        <f>IF(N(F141)&lt;=0,0,MAX(0,F141*(1+Plan!$C$13/12)-(Plan!$D$13+IF(Plan!$E$13=$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G142" s="18">
        <f>IF(N(G141)&lt;=0,0,MAX(0,G141*(1+Plan!$C$14/12)-(Plan!$D$14+IF(Plan!$E$14=$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H142" s="18">
        <f>IF(N(H141)&lt;=0,0,MAX(0,H141*(1+Plan!$C$15/12)-(Plan!$D$15+IF(Plan!$E$15=$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I142" s="18">
        <f>IF(N(I141)&lt;=0,0,MAX(0,I141*(1+Plan!$C$16/12)-(Plan!$D$16+IF(Plan!$E$16=$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J142" s="18">
        <f>IF(N(J141)&lt;=0,0,MAX(0,J141*(1+Plan!$C$17/12)-(Plan!$D$17+IF(Plan!$E$17=$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K142" s="18">
        <f>IF(N(K141)&lt;=0,0,MAX(0,K141*(1+Plan!$C$18/12)-(Plan!$D$18+IF(Plan!$E$18=$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c r="L142" s="19">
        <f>MIN(IF(N(B141)&gt;0,Plan!$E$9,999),IF(N(C141)&gt;0,Plan!$E$10,999),IF(N(D141)&gt;0,Plan!$E$11,999),IF(N(E141)&gt;0,Plan!$E$12,999),IF(N(F141)&gt;0,Plan!$E$13,999),IF(N(G141)&gt;0,Plan!$E$14,999),IF(N(H141)&gt;0,Plan!$E$15,999),IF(N(I141)&gt;0,Plan!$E$16,999),IF(N(J141)&gt;0,Plan!$E$17,999),IF(N(K141)&gt;0,Plan!$E$18,999))</f>
        <v/>
      </c>
      <c r="M142" s="18">
        <f>IF(N(B141)&lt;=0,0,MIN(B141*(1+Plan!$C$9/12),Plan!$D$9+IF(Plan!$E$9=$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IF(N(C141)&lt;=0,0,MIN(C141*(1+Plan!$C$10/12),Plan!$D$10+IF(Plan!$E$10=$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IF(N(D141)&lt;=0,0,MIN(D141*(1+Plan!$C$11/12),Plan!$D$11+IF(Plan!$E$11=$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IF(N(E141)&lt;=0,0,MIN(E141*(1+Plan!$C$12/12),Plan!$D$12+IF(Plan!$E$12=$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IF(N(F141)&lt;=0,0,MIN(F141*(1+Plan!$C$13/12),Plan!$D$13+IF(Plan!$E$13=$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IF(N(G141)&lt;=0,0,MIN(G141*(1+Plan!$C$14/12),Plan!$D$14+IF(Plan!$E$14=$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IF(N(H141)&lt;=0,0,MIN(H141*(1+Plan!$C$15/12),Plan!$D$15+IF(Plan!$E$15=$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IF(N(I141)&lt;=0,0,MIN(I141*(1+Plan!$C$16/12),Plan!$D$16+IF(Plan!$E$16=$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IF(N(J141)&lt;=0,0,MIN(J141*(1+Plan!$C$17/12),Plan!$D$17+IF(Plan!$E$17=$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IF(N(K141)&lt;=0,0,MIN(K141*(1+Plan!$C$18/12),Plan!$D$18+IF(Plan!$E$18=$L142,Plan!$B$5+IF(AND(N(Plan!$B$9)&gt;0,N(B141)&lt;=0),Plan!$D$9,0)+IF(AND(N(Plan!$B$10)&gt;0,N(C141)&lt;=0),Plan!$D$10,0)+IF(AND(N(Plan!$B$11)&gt;0,N(D141)&lt;=0),Plan!$D$11,0)+IF(AND(N(Plan!$B$12)&gt;0,N(E141)&lt;=0),Plan!$D$12,0)+IF(AND(N(Plan!$B$13)&gt;0,N(F141)&lt;=0),Plan!$D$13,0)+IF(AND(N(Plan!$B$14)&gt;0,N(G141)&lt;=0),Plan!$D$14,0)+IF(AND(N(Plan!$B$15)&gt;0,N(H141)&lt;=0),Plan!$D$15,0)+IF(AND(N(Plan!$B$16)&gt;0,N(I141)&lt;=0),Plan!$D$16,0)+IF(AND(N(Plan!$B$17)&gt;0,N(J141)&lt;=0),Plan!$D$17,0)+IF(AND(N(Plan!$B$18)&gt;0,N(K141)&lt;=0),Plan!$D$18,0),0)))</f>
        <v/>
      </c>
    </row>
    <row r="143">
      <c r="A143" s="17" t="n">
        <v>139</v>
      </c>
      <c r="B143" s="18">
        <f>IF(N(B142)&lt;=0,0,MAX(0,B142*(1+Plan!$C$9/12)-(Plan!$D$9+IF(Plan!$E$9=$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C143" s="18">
        <f>IF(N(C142)&lt;=0,0,MAX(0,C142*(1+Plan!$C$10/12)-(Plan!$D$10+IF(Plan!$E$10=$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D143" s="18">
        <f>IF(N(D142)&lt;=0,0,MAX(0,D142*(1+Plan!$C$11/12)-(Plan!$D$11+IF(Plan!$E$11=$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E143" s="18">
        <f>IF(N(E142)&lt;=0,0,MAX(0,E142*(1+Plan!$C$12/12)-(Plan!$D$12+IF(Plan!$E$12=$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F143" s="18">
        <f>IF(N(F142)&lt;=0,0,MAX(0,F142*(1+Plan!$C$13/12)-(Plan!$D$13+IF(Plan!$E$13=$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G143" s="18">
        <f>IF(N(G142)&lt;=0,0,MAX(0,G142*(1+Plan!$C$14/12)-(Plan!$D$14+IF(Plan!$E$14=$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H143" s="18">
        <f>IF(N(H142)&lt;=0,0,MAX(0,H142*(1+Plan!$C$15/12)-(Plan!$D$15+IF(Plan!$E$15=$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I143" s="18">
        <f>IF(N(I142)&lt;=0,0,MAX(0,I142*(1+Plan!$C$16/12)-(Plan!$D$16+IF(Plan!$E$16=$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J143" s="18">
        <f>IF(N(J142)&lt;=0,0,MAX(0,J142*(1+Plan!$C$17/12)-(Plan!$D$17+IF(Plan!$E$17=$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K143" s="18">
        <f>IF(N(K142)&lt;=0,0,MAX(0,K142*(1+Plan!$C$18/12)-(Plan!$D$18+IF(Plan!$E$18=$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c r="L143" s="19">
        <f>MIN(IF(N(B142)&gt;0,Plan!$E$9,999),IF(N(C142)&gt;0,Plan!$E$10,999),IF(N(D142)&gt;0,Plan!$E$11,999),IF(N(E142)&gt;0,Plan!$E$12,999),IF(N(F142)&gt;0,Plan!$E$13,999),IF(N(G142)&gt;0,Plan!$E$14,999),IF(N(H142)&gt;0,Plan!$E$15,999),IF(N(I142)&gt;0,Plan!$E$16,999),IF(N(J142)&gt;0,Plan!$E$17,999),IF(N(K142)&gt;0,Plan!$E$18,999))</f>
        <v/>
      </c>
      <c r="M143" s="18">
        <f>IF(N(B142)&lt;=0,0,MIN(B142*(1+Plan!$C$9/12),Plan!$D$9+IF(Plan!$E$9=$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IF(N(C142)&lt;=0,0,MIN(C142*(1+Plan!$C$10/12),Plan!$D$10+IF(Plan!$E$10=$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IF(N(D142)&lt;=0,0,MIN(D142*(1+Plan!$C$11/12),Plan!$D$11+IF(Plan!$E$11=$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IF(N(E142)&lt;=0,0,MIN(E142*(1+Plan!$C$12/12),Plan!$D$12+IF(Plan!$E$12=$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IF(N(F142)&lt;=0,0,MIN(F142*(1+Plan!$C$13/12),Plan!$D$13+IF(Plan!$E$13=$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IF(N(G142)&lt;=0,0,MIN(G142*(1+Plan!$C$14/12),Plan!$D$14+IF(Plan!$E$14=$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IF(N(H142)&lt;=0,0,MIN(H142*(1+Plan!$C$15/12),Plan!$D$15+IF(Plan!$E$15=$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IF(N(I142)&lt;=0,0,MIN(I142*(1+Plan!$C$16/12),Plan!$D$16+IF(Plan!$E$16=$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IF(N(J142)&lt;=0,0,MIN(J142*(1+Plan!$C$17/12),Plan!$D$17+IF(Plan!$E$17=$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IF(N(K142)&lt;=0,0,MIN(K142*(1+Plan!$C$18/12),Plan!$D$18+IF(Plan!$E$18=$L143,Plan!$B$5+IF(AND(N(Plan!$B$9)&gt;0,N(B142)&lt;=0),Plan!$D$9,0)+IF(AND(N(Plan!$B$10)&gt;0,N(C142)&lt;=0),Plan!$D$10,0)+IF(AND(N(Plan!$B$11)&gt;0,N(D142)&lt;=0),Plan!$D$11,0)+IF(AND(N(Plan!$B$12)&gt;0,N(E142)&lt;=0),Plan!$D$12,0)+IF(AND(N(Plan!$B$13)&gt;0,N(F142)&lt;=0),Plan!$D$13,0)+IF(AND(N(Plan!$B$14)&gt;0,N(G142)&lt;=0),Plan!$D$14,0)+IF(AND(N(Plan!$B$15)&gt;0,N(H142)&lt;=0),Plan!$D$15,0)+IF(AND(N(Plan!$B$16)&gt;0,N(I142)&lt;=0),Plan!$D$16,0)+IF(AND(N(Plan!$B$17)&gt;0,N(J142)&lt;=0),Plan!$D$17,0)+IF(AND(N(Plan!$B$18)&gt;0,N(K142)&lt;=0),Plan!$D$18,0),0)))</f>
        <v/>
      </c>
    </row>
    <row r="144">
      <c r="A144" s="17" t="n">
        <v>140</v>
      </c>
      <c r="B144" s="18">
        <f>IF(N(B143)&lt;=0,0,MAX(0,B143*(1+Plan!$C$9/12)-(Plan!$D$9+IF(Plan!$E$9=$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C144" s="18">
        <f>IF(N(C143)&lt;=0,0,MAX(0,C143*(1+Plan!$C$10/12)-(Plan!$D$10+IF(Plan!$E$10=$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D144" s="18">
        <f>IF(N(D143)&lt;=0,0,MAX(0,D143*(1+Plan!$C$11/12)-(Plan!$D$11+IF(Plan!$E$11=$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E144" s="18">
        <f>IF(N(E143)&lt;=0,0,MAX(0,E143*(1+Plan!$C$12/12)-(Plan!$D$12+IF(Plan!$E$12=$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F144" s="18">
        <f>IF(N(F143)&lt;=0,0,MAX(0,F143*(1+Plan!$C$13/12)-(Plan!$D$13+IF(Plan!$E$13=$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G144" s="18">
        <f>IF(N(G143)&lt;=0,0,MAX(0,G143*(1+Plan!$C$14/12)-(Plan!$D$14+IF(Plan!$E$14=$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H144" s="18">
        <f>IF(N(H143)&lt;=0,0,MAX(0,H143*(1+Plan!$C$15/12)-(Plan!$D$15+IF(Plan!$E$15=$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I144" s="18">
        <f>IF(N(I143)&lt;=0,0,MAX(0,I143*(1+Plan!$C$16/12)-(Plan!$D$16+IF(Plan!$E$16=$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J144" s="18">
        <f>IF(N(J143)&lt;=0,0,MAX(0,J143*(1+Plan!$C$17/12)-(Plan!$D$17+IF(Plan!$E$17=$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K144" s="18">
        <f>IF(N(K143)&lt;=0,0,MAX(0,K143*(1+Plan!$C$18/12)-(Plan!$D$18+IF(Plan!$E$18=$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c r="L144" s="19">
        <f>MIN(IF(N(B143)&gt;0,Plan!$E$9,999),IF(N(C143)&gt;0,Plan!$E$10,999),IF(N(D143)&gt;0,Plan!$E$11,999),IF(N(E143)&gt;0,Plan!$E$12,999),IF(N(F143)&gt;0,Plan!$E$13,999),IF(N(G143)&gt;0,Plan!$E$14,999),IF(N(H143)&gt;0,Plan!$E$15,999),IF(N(I143)&gt;0,Plan!$E$16,999),IF(N(J143)&gt;0,Plan!$E$17,999),IF(N(K143)&gt;0,Plan!$E$18,999))</f>
        <v/>
      </c>
      <c r="M144" s="18">
        <f>IF(N(B143)&lt;=0,0,MIN(B143*(1+Plan!$C$9/12),Plan!$D$9+IF(Plan!$E$9=$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IF(N(C143)&lt;=0,0,MIN(C143*(1+Plan!$C$10/12),Plan!$D$10+IF(Plan!$E$10=$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IF(N(D143)&lt;=0,0,MIN(D143*(1+Plan!$C$11/12),Plan!$D$11+IF(Plan!$E$11=$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IF(N(E143)&lt;=0,0,MIN(E143*(1+Plan!$C$12/12),Plan!$D$12+IF(Plan!$E$12=$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IF(N(F143)&lt;=0,0,MIN(F143*(1+Plan!$C$13/12),Plan!$D$13+IF(Plan!$E$13=$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IF(N(G143)&lt;=0,0,MIN(G143*(1+Plan!$C$14/12),Plan!$D$14+IF(Plan!$E$14=$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IF(N(H143)&lt;=0,0,MIN(H143*(1+Plan!$C$15/12),Plan!$D$15+IF(Plan!$E$15=$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IF(N(I143)&lt;=0,0,MIN(I143*(1+Plan!$C$16/12),Plan!$D$16+IF(Plan!$E$16=$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IF(N(J143)&lt;=0,0,MIN(J143*(1+Plan!$C$17/12),Plan!$D$17+IF(Plan!$E$17=$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IF(N(K143)&lt;=0,0,MIN(K143*(1+Plan!$C$18/12),Plan!$D$18+IF(Plan!$E$18=$L144,Plan!$B$5+IF(AND(N(Plan!$B$9)&gt;0,N(B143)&lt;=0),Plan!$D$9,0)+IF(AND(N(Plan!$B$10)&gt;0,N(C143)&lt;=0),Plan!$D$10,0)+IF(AND(N(Plan!$B$11)&gt;0,N(D143)&lt;=0),Plan!$D$11,0)+IF(AND(N(Plan!$B$12)&gt;0,N(E143)&lt;=0),Plan!$D$12,0)+IF(AND(N(Plan!$B$13)&gt;0,N(F143)&lt;=0),Plan!$D$13,0)+IF(AND(N(Plan!$B$14)&gt;0,N(G143)&lt;=0),Plan!$D$14,0)+IF(AND(N(Plan!$B$15)&gt;0,N(H143)&lt;=0),Plan!$D$15,0)+IF(AND(N(Plan!$B$16)&gt;0,N(I143)&lt;=0),Plan!$D$16,0)+IF(AND(N(Plan!$B$17)&gt;0,N(J143)&lt;=0),Plan!$D$17,0)+IF(AND(N(Plan!$B$18)&gt;0,N(K143)&lt;=0),Plan!$D$18,0),0)))</f>
        <v/>
      </c>
    </row>
    <row r="145">
      <c r="A145" s="17" t="n">
        <v>141</v>
      </c>
      <c r="B145" s="18">
        <f>IF(N(B144)&lt;=0,0,MAX(0,B144*(1+Plan!$C$9/12)-(Plan!$D$9+IF(Plan!$E$9=$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C145" s="18">
        <f>IF(N(C144)&lt;=0,0,MAX(0,C144*(1+Plan!$C$10/12)-(Plan!$D$10+IF(Plan!$E$10=$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D145" s="18">
        <f>IF(N(D144)&lt;=0,0,MAX(0,D144*(1+Plan!$C$11/12)-(Plan!$D$11+IF(Plan!$E$11=$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E145" s="18">
        <f>IF(N(E144)&lt;=0,0,MAX(0,E144*(1+Plan!$C$12/12)-(Plan!$D$12+IF(Plan!$E$12=$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F145" s="18">
        <f>IF(N(F144)&lt;=0,0,MAX(0,F144*(1+Plan!$C$13/12)-(Plan!$D$13+IF(Plan!$E$13=$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G145" s="18">
        <f>IF(N(G144)&lt;=0,0,MAX(0,G144*(1+Plan!$C$14/12)-(Plan!$D$14+IF(Plan!$E$14=$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H145" s="18">
        <f>IF(N(H144)&lt;=0,0,MAX(0,H144*(1+Plan!$C$15/12)-(Plan!$D$15+IF(Plan!$E$15=$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I145" s="18">
        <f>IF(N(I144)&lt;=0,0,MAX(0,I144*(1+Plan!$C$16/12)-(Plan!$D$16+IF(Plan!$E$16=$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J145" s="18">
        <f>IF(N(J144)&lt;=0,0,MAX(0,J144*(1+Plan!$C$17/12)-(Plan!$D$17+IF(Plan!$E$17=$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K145" s="18">
        <f>IF(N(K144)&lt;=0,0,MAX(0,K144*(1+Plan!$C$18/12)-(Plan!$D$18+IF(Plan!$E$18=$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c r="L145" s="19">
        <f>MIN(IF(N(B144)&gt;0,Plan!$E$9,999),IF(N(C144)&gt;0,Plan!$E$10,999),IF(N(D144)&gt;0,Plan!$E$11,999),IF(N(E144)&gt;0,Plan!$E$12,999),IF(N(F144)&gt;0,Plan!$E$13,999),IF(N(G144)&gt;0,Plan!$E$14,999),IF(N(H144)&gt;0,Plan!$E$15,999),IF(N(I144)&gt;0,Plan!$E$16,999),IF(N(J144)&gt;0,Plan!$E$17,999),IF(N(K144)&gt;0,Plan!$E$18,999))</f>
        <v/>
      </c>
      <c r="M145" s="18">
        <f>IF(N(B144)&lt;=0,0,MIN(B144*(1+Plan!$C$9/12),Plan!$D$9+IF(Plan!$E$9=$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IF(N(C144)&lt;=0,0,MIN(C144*(1+Plan!$C$10/12),Plan!$D$10+IF(Plan!$E$10=$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IF(N(D144)&lt;=0,0,MIN(D144*(1+Plan!$C$11/12),Plan!$D$11+IF(Plan!$E$11=$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IF(N(E144)&lt;=0,0,MIN(E144*(1+Plan!$C$12/12),Plan!$D$12+IF(Plan!$E$12=$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IF(N(F144)&lt;=0,0,MIN(F144*(1+Plan!$C$13/12),Plan!$D$13+IF(Plan!$E$13=$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IF(N(G144)&lt;=0,0,MIN(G144*(1+Plan!$C$14/12),Plan!$D$14+IF(Plan!$E$14=$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IF(N(H144)&lt;=0,0,MIN(H144*(1+Plan!$C$15/12),Plan!$D$15+IF(Plan!$E$15=$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IF(N(I144)&lt;=0,0,MIN(I144*(1+Plan!$C$16/12),Plan!$D$16+IF(Plan!$E$16=$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IF(N(J144)&lt;=0,0,MIN(J144*(1+Plan!$C$17/12),Plan!$D$17+IF(Plan!$E$17=$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IF(N(K144)&lt;=0,0,MIN(K144*(1+Plan!$C$18/12),Plan!$D$18+IF(Plan!$E$18=$L145,Plan!$B$5+IF(AND(N(Plan!$B$9)&gt;0,N(B144)&lt;=0),Plan!$D$9,0)+IF(AND(N(Plan!$B$10)&gt;0,N(C144)&lt;=0),Plan!$D$10,0)+IF(AND(N(Plan!$B$11)&gt;0,N(D144)&lt;=0),Plan!$D$11,0)+IF(AND(N(Plan!$B$12)&gt;0,N(E144)&lt;=0),Plan!$D$12,0)+IF(AND(N(Plan!$B$13)&gt;0,N(F144)&lt;=0),Plan!$D$13,0)+IF(AND(N(Plan!$B$14)&gt;0,N(G144)&lt;=0),Plan!$D$14,0)+IF(AND(N(Plan!$B$15)&gt;0,N(H144)&lt;=0),Plan!$D$15,0)+IF(AND(N(Plan!$B$16)&gt;0,N(I144)&lt;=0),Plan!$D$16,0)+IF(AND(N(Plan!$B$17)&gt;0,N(J144)&lt;=0),Plan!$D$17,0)+IF(AND(N(Plan!$B$18)&gt;0,N(K144)&lt;=0),Plan!$D$18,0),0)))</f>
        <v/>
      </c>
    </row>
    <row r="146">
      <c r="A146" s="17" t="n">
        <v>142</v>
      </c>
      <c r="B146" s="18">
        <f>IF(N(B145)&lt;=0,0,MAX(0,B145*(1+Plan!$C$9/12)-(Plan!$D$9+IF(Plan!$E$9=$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C146" s="18">
        <f>IF(N(C145)&lt;=0,0,MAX(0,C145*(1+Plan!$C$10/12)-(Plan!$D$10+IF(Plan!$E$10=$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D146" s="18">
        <f>IF(N(D145)&lt;=0,0,MAX(0,D145*(1+Plan!$C$11/12)-(Plan!$D$11+IF(Plan!$E$11=$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E146" s="18">
        <f>IF(N(E145)&lt;=0,0,MAX(0,E145*(1+Plan!$C$12/12)-(Plan!$D$12+IF(Plan!$E$12=$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F146" s="18">
        <f>IF(N(F145)&lt;=0,0,MAX(0,F145*(1+Plan!$C$13/12)-(Plan!$D$13+IF(Plan!$E$13=$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G146" s="18">
        <f>IF(N(G145)&lt;=0,0,MAX(0,G145*(1+Plan!$C$14/12)-(Plan!$D$14+IF(Plan!$E$14=$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H146" s="18">
        <f>IF(N(H145)&lt;=0,0,MAX(0,H145*(1+Plan!$C$15/12)-(Plan!$D$15+IF(Plan!$E$15=$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I146" s="18">
        <f>IF(N(I145)&lt;=0,0,MAX(0,I145*(1+Plan!$C$16/12)-(Plan!$D$16+IF(Plan!$E$16=$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J146" s="18">
        <f>IF(N(J145)&lt;=0,0,MAX(0,J145*(1+Plan!$C$17/12)-(Plan!$D$17+IF(Plan!$E$17=$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K146" s="18">
        <f>IF(N(K145)&lt;=0,0,MAX(0,K145*(1+Plan!$C$18/12)-(Plan!$D$18+IF(Plan!$E$18=$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c r="L146" s="19">
        <f>MIN(IF(N(B145)&gt;0,Plan!$E$9,999),IF(N(C145)&gt;0,Plan!$E$10,999),IF(N(D145)&gt;0,Plan!$E$11,999),IF(N(E145)&gt;0,Plan!$E$12,999),IF(N(F145)&gt;0,Plan!$E$13,999),IF(N(G145)&gt;0,Plan!$E$14,999),IF(N(H145)&gt;0,Plan!$E$15,999),IF(N(I145)&gt;0,Plan!$E$16,999),IF(N(J145)&gt;0,Plan!$E$17,999),IF(N(K145)&gt;0,Plan!$E$18,999))</f>
        <v/>
      </c>
      <c r="M146" s="18">
        <f>IF(N(B145)&lt;=0,0,MIN(B145*(1+Plan!$C$9/12),Plan!$D$9+IF(Plan!$E$9=$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IF(N(C145)&lt;=0,0,MIN(C145*(1+Plan!$C$10/12),Plan!$D$10+IF(Plan!$E$10=$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IF(N(D145)&lt;=0,0,MIN(D145*(1+Plan!$C$11/12),Plan!$D$11+IF(Plan!$E$11=$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IF(N(E145)&lt;=0,0,MIN(E145*(1+Plan!$C$12/12),Plan!$D$12+IF(Plan!$E$12=$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IF(N(F145)&lt;=0,0,MIN(F145*(1+Plan!$C$13/12),Plan!$D$13+IF(Plan!$E$13=$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IF(N(G145)&lt;=0,0,MIN(G145*(1+Plan!$C$14/12),Plan!$D$14+IF(Plan!$E$14=$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IF(N(H145)&lt;=0,0,MIN(H145*(1+Plan!$C$15/12),Plan!$D$15+IF(Plan!$E$15=$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IF(N(I145)&lt;=0,0,MIN(I145*(1+Plan!$C$16/12),Plan!$D$16+IF(Plan!$E$16=$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IF(N(J145)&lt;=0,0,MIN(J145*(1+Plan!$C$17/12),Plan!$D$17+IF(Plan!$E$17=$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IF(N(K145)&lt;=0,0,MIN(K145*(1+Plan!$C$18/12),Plan!$D$18+IF(Plan!$E$18=$L146,Plan!$B$5+IF(AND(N(Plan!$B$9)&gt;0,N(B145)&lt;=0),Plan!$D$9,0)+IF(AND(N(Plan!$B$10)&gt;0,N(C145)&lt;=0),Plan!$D$10,0)+IF(AND(N(Plan!$B$11)&gt;0,N(D145)&lt;=0),Plan!$D$11,0)+IF(AND(N(Plan!$B$12)&gt;0,N(E145)&lt;=0),Plan!$D$12,0)+IF(AND(N(Plan!$B$13)&gt;0,N(F145)&lt;=0),Plan!$D$13,0)+IF(AND(N(Plan!$B$14)&gt;0,N(G145)&lt;=0),Plan!$D$14,0)+IF(AND(N(Plan!$B$15)&gt;0,N(H145)&lt;=0),Plan!$D$15,0)+IF(AND(N(Plan!$B$16)&gt;0,N(I145)&lt;=0),Plan!$D$16,0)+IF(AND(N(Plan!$B$17)&gt;0,N(J145)&lt;=0),Plan!$D$17,0)+IF(AND(N(Plan!$B$18)&gt;0,N(K145)&lt;=0),Plan!$D$18,0),0)))</f>
        <v/>
      </c>
    </row>
    <row r="147">
      <c r="A147" s="17" t="n">
        <v>143</v>
      </c>
      <c r="B147" s="18">
        <f>IF(N(B146)&lt;=0,0,MAX(0,B146*(1+Plan!$C$9/12)-(Plan!$D$9+IF(Plan!$E$9=$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C147" s="18">
        <f>IF(N(C146)&lt;=0,0,MAX(0,C146*(1+Plan!$C$10/12)-(Plan!$D$10+IF(Plan!$E$10=$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D147" s="18">
        <f>IF(N(D146)&lt;=0,0,MAX(0,D146*(1+Plan!$C$11/12)-(Plan!$D$11+IF(Plan!$E$11=$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E147" s="18">
        <f>IF(N(E146)&lt;=0,0,MAX(0,E146*(1+Plan!$C$12/12)-(Plan!$D$12+IF(Plan!$E$12=$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F147" s="18">
        <f>IF(N(F146)&lt;=0,0,MAX(0,F146*(1+Plan!$C$13/12)-(Plan!$D$13+IF(Plan!$E$13=$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G147" s="18">
        <f>IF(N(G146)&lt;=0,0,MAX(0,G146*(1+Plan!$C$14/12)-(Plan!$D$14+IF(Plan!$E$14=$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H147" s="18">
        <f>IF(N(H146)&lt;=0,0,MAX(0,H146*(1+Plan!$C$15/12)-(Plan!$D$15+IF(Plan!$E$15=$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I147" s="18">
        <f>IF(N(I146)&lt;=0,0,MAX(0,I146*(1+Plan!$C$16/12)-(Plan!$D$16+IF(Plan!$E$16=$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J147" s="18">
        <f>IF(N(J146)&lt;=0,0,MAX(0,J146*(1+Plan!$C$17/12)-(Plan!$D$17+IF(Plan!$E$17=$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K147" s="18">
        <f>IF(N(K146)&lt;=0,0,MAX(0,K146*(1+Plan!$C$18/12)-(Plan!$D$18+IF(Plan!$E$18=$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c r="L147" s="19">
        <f>MIN(IF(N(B146)&gt;0,Plan!$E$9,999),IF(N(C146)&gt;0,Plan!$E$10,999),IF(N(D146)&gt;0,Plan!$E$11,999),IF(N(E146)&gt;0,Plan!$E$12,999),IF(N(F146)&gt;0,Plan!$E$13,999),IF(N(G146)&gt;0,Plan!$E$14,999),IF(N(H146)&gt;0,Plan!$E$15,999),IF(N(I146)&gt;0,Plan!$E$16,999),IF(N(J146)&gt;0,Plan!$E$17,999),IF(N(K146)&gt;0,Plan!$E$18,999))</f>
        <v/>
      </c>
      <c r="M147" s="18">
        <f>IF(N(B146)&lt;=0,0,MIN(B146*(1+Plan!$C$9/12),Plan!$D$9+IF(Plan!$E$9=$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IF(N(C146)&lt;=0,0,MIN(C146*(1+Plan!$C$10/12),Plan!$D$10+IF(Plan!$E$10=$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IF(N(D146)&lt;=0,0,MIN(D146*(1+Plan!$C$11/12),Plan!$D$11+IF(Plan!$E$11=$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IF(N(E146)&lt;=0,0,MIN(E146*(1+Plan!$C$12/12),Plan!$D$12+IF(Plan!$E$12=$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IF(N(F146)&lt;=0,0,MIN(F146*(1+Plan!$C$13/12),Plan!$D$13+IF(Plan!$E$13=$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IF(N(G146)&lt;=0,0,MIN(G146*(1+Plan!$C$14/12),Plan!$D$14+IF(Plan!$E$14=$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IF(N(H146)&lt;=0,0,MIN(H146*(1+Plan!$C$15/12),Plan!$D$15+IF(Plan!$E$15=$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IF(N(I146)&lt;=0,0,MIN(I146*(1+Plan!$C$16/12),Plan!$D$16+IF(Plan!$E$16=$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IF(N(J146)&lt;=0,0,MIN(J146*(1+Plan!$C$17/12),Plan!$D$17+IF(Plan!$E$17=$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IF(N(K146)&lt;=0,0,MIN(K146*(1+Plan!$C$18/12),Plan!$D$18+IF(Plan!$E$18=$L147,Plan!$B$5+IF(AND(N(Plan!$B$9)&gt;0,N(B146)&lt;=0),Plan!$D$9,0)+IF(AND(N(Plan!$B$10)&gt;0,N(C146)&lt;=0),Plan!$D$10,0)+IF(AND(N(Plan!$B$11)&gt;0,N(D146)&lt;=0),Plan!$D$11,0)+IF(AND(N(Plan!$B$12)&gt;0,N(E146)&lt;=0),Plan!$D$12,0)+IF(AND(N(Plan!$B$13)&gt;0,N(F146)&lt;=0),Plan!$D$13,0)+IF(AND(N(Plan!$B$14)&gt;0,N(G146)&lt;=0),Plan!$D$14,0)+IF(AND(N(Plan!$B$15)&gt;0,N(H146)&lt;=0),Plan!$D$15,0)+IF(AND(N(Plan!$B$16)&gt;0,N(I146)&lt;=0),Plan!$D$16,0)+IF(AND(N(Plan!$B$17)&gt;0,N(J146)&lt;=0),Plan!$D$17,0)+IF(AND(N(Plan!$B$18)&gt;0,N(K146)&lt;=0),Plan!$D$18,0),0)))</f>
        <v/>
      </c>
    </row>
    <row r="148">
      <c r="A148" s="17" t="n">
        <v>144</v>
      </c>
      <c r="B148" s="18">
        <f>IF(N(B147)&lt;=0,0,MAX(0,B147*(1+Plan!$C$9/12)-(Plan!$D$9+IF(Plan!$E$9=$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C148" s="18">
        <f>IF(N(C147)&lt;=0,0,MAX(0,C147*(1+Plan!$C$10/12)-(Plan!$D$10+IF(Plan!$E$10=$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D148" s="18">
        <f>IF(N(D147)&lt;=0,0,MAX(0,D147*(1+Plan!$C$11/12)-(Plan!$D$11+IF(Plan!$E$11=$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E148" s="18">
        <f>IF(N(E147)&lt;=0,0,MAX(0,E147*(1+Plan!$C$12/12)-(Plan!$D$12+IF(Plan!$E$12=$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F148" s="18">
        <f>IF(N(F147)&lt;=0,0,MAX(0,F147*(1+Plan!$C$13/12)-(Plan!$D$13+IF(Plan!$E$13=$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G148" s="18">
        <f>IF(N(G147)&lt;=0,0,MAX(0,G147*(1+Plan!$C$14/12)-(Plan!$D$14+IF(Plan!$E$14=$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H148" s="18">
        <f>IF(N(H147)&lt;=0,0,MAX(0,H147*(1+Plan!$C$15/12)-(Plan!$D$15+IF(Plan!$E$15=$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I148" s="18">
        <f>IF(N(I147)&lt;=0,0,MAX(0,I147*(1+Plan!$C$16/12)-(Plan!$D$16+IF(Plan!$E$16=$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J148" s="18">
        <f>IF(N(J147)&lt;=0,0,MAX(0,J147*(1+Plan!$C$17/12)-(Plan!$D$17+IF(Plan!$E$17=$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K148" s="18">
        <f>IF(N(K147)&lt;=0,0,MAX(0,K147*(1+Plan!$C$18/12)-(Plan!$D$18+IF(Plan!$E$18=$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c r="L148" s="19">
        <f>MIN(IF(N(B147)&gt;0,Plan!$E$9,999),IF(N(C147)&gt;0,Plan!$E$10,999),IF(N(D147)&gt;0,Plan!$E$11,999),IF(N(E147)&gt;0,Plan!$E$12,999),IF(N(F147)&gt;0,Plan!$E$13,999),IF(N(G147)&gt;0,Plan!$E$14,999),IF(N(H147)&gt;0,Plan!$E$15,999),IF(N(I147)&gt;0,Plan!$E$16,999),IF(N(J147)&gt;0,Plan!$E$17,999),IF(N(K147)&gt;0,Plan!$E$18,999))</f>
        <v/>
      </c>
      <c r="M148" s="18">
        <f>IF(N(B147)&lt;=0,0,MIN(B147*(1+Plan!$C$9/12),Plan!$D$9+IF(Plan!$E$9=$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IF(N(C147)&lt;=0,0,MIN(C147*(1+Plan!$C$10/12),Plan!$D$10+IF(Plan!$E$10=$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IF(N(D147)&lt;=0,0,MIN(D147*(1+Plan!$C$11/12),Plan!$D$11+IF(Plan!$E$11=$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IF(N(E147)&lt;=0,0,MIN(E147*(1+Plan!$C$12/12),Plan!$D$12+IF(Plan!$E$12=$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IF(N(F147)&lt;=0,0,MIN(F147*(1+Plan!$C$13/12),Plan!$D$13+IF(Plan!$E$13=$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IF(N(G147)&lt;=0,0,MIN(G147*(1+Plan!$C$14/12),Plan!$D$14+IF(Plan!$E$14=$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IF(N(H147)&lt;=0,0,MIN(H147*(1+Plan!$C$15/12),Plan!$D$15+IF(Plan!$E$15=$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IF(N(I147)&lt;=0,0,MIN(I147*(1+Plan!$C$16/12),Plan!$D$16+IF(Plan!$E$16=$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IF(N(J147)&lt;=0,0,MIN(J147*(1+Plan!$C$17/12),Plan!$D$17+IF(Plan!$E$17=$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IF(N(K147)&lt;=0,0,MIN(K147*(1+Plan!$C$18/12),Plan!$D$18+IF(Plan!$E$18=$L148,Plan!$B$5+IF(AND(N(Plan!$B$9)&gt;0,N(B147)&lt;=0),Plan!$D$9,0)+IF(AND(N(Plan!$B$10)&gt;0,N(C147)&lt;=0),Plan!$D$10,0)+IF(AND(N(Plan!$B$11)&gt;0,N(D147)&lt;=0),Plan!$D$11,0)+IF(AND(N(Plan!$B$12)&gt;0,N(E147)&lt;=0),Plan!$D$12,0)+IF(AND(N(Plan!$B$13)&gt;0,N(F147)&lt;=0),Plan!$D$13,0)+IF(AND(N(Plan!$B$14)&gt;0,N(G147)&lt;=0),Plan!$D$14,0)+IF(AND(N(Plan!$B$15)&gt;0,N(H147)&lt;=0),Plan!$D$15,0)+IF(AND(N(Plan!$B$16)&gt;0,N(I147)&lt;=0),Plan!$D$16,0)+IF(AND(N(Plan!$B$17)&gt;0,N(J147)&lt;=0),Plan!$D$17,0)+IF(AND(N(Plan!$B$18)&gt;0,N(K147)&lt;=0),Plan!$D$18,0),0)))</f>
        <v/>
      </c>
    </row>
    <row r="149">
      <c r="A149" s="17" t="n">
        <v>145</v>
      </c>
      <c r="B149" s="18">
        <f>IF(N(B148)&lt;=0,0,MAX(0,B148*(1+Plan!$C$9/12)-(Plan!$D$9+IF(Plan!$E$9=$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C149" s="18">
        <f>IF(N(C148)&lt;=0,0,MAX(0,C148*(1+Plan!$C$10/12)-(Plan!$D$10+IF(Plan!$E$10=$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D149" s="18">
        <f>IF(N(D148)&lt;=0,0,MAX(0,D148*(1+Plan!$C$11/12)-(Plan!$D$11+IF(Plan!$E$11=$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E149" s="18">
        <f>IF(N(E148)&lt;=0,0,MAX(0,E148*(1+Plan!$C$12/12)-(Plan!$D$12+IF(Plan!$E$12=$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F149" s="18">
        <f>IF(N(F148)&lt;=0,0,MAX(0,F148*(1+Plan!$C$13/12)-(Plan!$D$13+IF(Plan!$E$13=$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G149" s="18">
        <f>IF(N(G148)&lt;=0,0,MAX(0,G148*(1+Plan!$C$14/12)-(Plan!$D$14+IF(Plan!$E$14=$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H149" s="18">
        <f>IF(N(H148)&lt;=0,0,MAX(0,H148*(1+Plan!$C$15/12)-(Plan!$D$15+IF(Plan!$E$15=$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I149" s="18">
        <f>IF(N(I148)&lt;=0,0,MAX(0,I148*(1+Plan!$C$16/12)-(Plan!$D$16+IF(Plan!$E$16=$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J149" s="18">
        <f>IF(N(J148)&lt;=0,0,MAX(0,J148*(1+Plan!$C$17/12)-(Plan!$D$17+IF(Plan!$E$17=$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K149" s="18">
        <f>IF(N(K148)&lt;=0,0,MAX(0,K148*(1+Plan!$C$18/12)-(Plan!$D$18+IF(Plan!$E$18=$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c r="L149" s="19">
        <f>MIN(IF(N(B148)&gt;0,Plan!$E$9,999),IF(N(C148)&gt;0,Plan!$E$10,999),IF(N(D148)&gt;0,Plan!$E$11,999),IF(N(E148)&gt;0,Plan!$E$12,999),IF(N(F148)&gt;0,Plan!$E$13,999),IF(N(G148)&gt;0,Plan!$E$14,999),IF(N(H148)&gt;0,Plan!$E$15,999),IF(N(I148)&gt;0,Plan!$E$16,999),IF(N(J148)&gt;0,Plan!$E$17,999),IF(N(K148)&gt;0,Plan!$E$18,999))</f>
        <v/>
      </c>
      <c r="M149" s="18">
        <f>IF(N(B148)&lt;=0,0,MIN(B148*(1+Plan!$C$9/12),Plan!$D$9+IF(Plan!$E$9=$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IF(N(C148)&lt;=0,0,MIN(C148*(1+Plan!$C$10/12),Plan!$D$10+IF(Plan!$E$10=$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IF(N(D148)&lt;=0,0,MIN(D148*(1+Plan!$C$11/12),Plan!$D$11+IF(Plan!$E$11=$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IF(N(E148)&lt;=0,0,MIN(E148*(1+Plan!$C$12/12),Plan!$D$12+IF(Plan!$E$12=$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IF(N(F148)&lt;=0,0,MIN(F148*(1+Plan!$C$13/12),Plan!$D$13+IF(Plan!$E$13=$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IF(N(G148)&lt;=0,0,MIN(G148*(1+Plan!$C$14/12),Plan!$D$14+IF(Plan!$E$14=$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IF(N(H148)&lt;=0,0,MIN(H148*(1+Plan!$C$15/12),Plan!$D$15+IF(Plan!$E$15=$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IF(N(I148)&lt;=0,0,MIN(I148*(1+Plan!$C$16/12),Plan!$D$16+IF(Plan!$E$16=$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IF(N(J148)&lt;=0,0,MIN(J148*(1+Plan!$C$17/12),Plan!$D$17+IF(Plan!$E$17=$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IF(N(K148)&lt;=0,0,MIN(K148*(1+Plan!$C$18/12),Plan!$D$18+IF(Plan!$E$18=$L149,Plan!$B$5+IF(AND(N(Plan!$B$9)&gt;0,N(B148)&lt;=0),Plan!$D$9,0)+IF(AND(N(Plan!$B$10)&gt;0,N(C148)&lt;=0),Plan!$D$10,0)+IF(AND(N(Plan!$B$11)&gt;0,N(D148)&lt;=0),Plan!$D$11,0)+IF(AND(N(Plan!$B$12)&gt;0,N(E148)&lt;=0),Plan!$D$12,0)+IF(AND(N(Plan!$B$13)&gt;0,N(F148)&lt;=0),Plan!$D$13,0)+IF(AND(N(Plan!$B$14)&gt;0,N(G148)&lt;=0),Plan!$D$14,0)+IF(AND(N(Plan!$B$15)&gt;0,N(H148)&lt;=0),Plan!$D$15,0)+IF(AND(N(Plan!$B$16)&gt;0,N(I148)&lt;=0),Plan!$D$16,0)+IF(AND(N(Plan!$B$17)&gt;0,N(J148)&lt;=0),Plan!$D$17,0)+IF(AND(N(Plan!$B$18)&gt;0,N(K148)&lt;=0),Plan!$D$18,0),0)))</f>
        <v/>
      </c>
    </row>
    <row r="150">
      <c r="A150" s="17" t="n">
        <v>146</v>
      </c>
      <c r="B150" s="18">
        <f>IF(N(B149)&lt;=0,0,MAX(0,B149*(1+Plan!$C$9/12)-(Plan!$D$9+IF(Plan!$E$9=$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C150" s="18">
        <f>IF(N(C149)&lt;=0,0,MAX(0,C149*(1+Plan!$C$10/12)-(Plan!$D$10+IF(Plan!$E$10=$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D150" s="18">
        <f>IF(N(D149)&lt;=0,0,MAX(0,D149*(1+Plan!$C$11/12)-(Plan!$D$11+IF(Plan!$E$11=$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E150" s="18">
        <f>IF(N(E149)&lt;=0,0,MAX(0,E149*(1+Plan!$C$12/12)-(Plan!$D$12+IF(Plan!$E$12=$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F150" s="18">
        <f>IF(N(F149)&lt;=0,0,MAX(0,F149*(1+Plan!$C$13/12)-(Plan!$D$13+IF(Plan!$E$13=$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G150" s="18">
        <f>IF(N(G149)&lt;=0,0,MAX(0,G149*(1+Plan!$C$14/12)-(Plan!$D$14+IF(Plan!$E$14=$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H150" s="18">
        <f>IF(N(H149)&lt;=0,0,MAX(0,H149*(1+Plan!$C$15/12)-(Plan!$D$15+IF(Plan!$E$15=$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I150" s="18">
        <f>IF(N(I149)&lt;=0,0,MAX(0,I149*(1+Plan!$C$16/12)-(Plan!$D$16+IF(Plan!$E$16=$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J150" s="18">
        <f>IF(N(J149)&lt;=0,0,MAX(0,J149*(1+Plan!$C$17/12)-(Plan!$D$17+IF(Plan!$E$17=$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K150" s="18">
        <f>IF(N(K149)&lt;=0,0,MAX(0,K149*(1+Plan!$C$18/12)-(Plan!$D$18+IF(Plan!$E$18=$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c r="L150" s="19">
        <f>MIN(IF(N(B149)&gt;0,Plan!$E$9,999),IF(N(C149)&gt;0,Plan!$E$10,999),IF(N(D149)&gt;0,Plan!$E$11,999),IF(N(E149)&gt;0,Plan!$E$12,999),IF(N(F149)&gt;0,Plan!$E$13,999),IF(N(G149)&gt;0,Plan!$E$14,999),IF(N(H149)&gt;0,Plan!$E$15,999),IF(N(I149)&gt;0,Plan!$E$16,999),IF(N(J149)&gt;0,Plan!$E$17,999),IF(N(K149)&gt;0,Plan!$E$18,999))</f>
        <v/>
      </c>
      <c r="M150" s="18">
        <f>IF(N(B149)&lt;=0,0,MIN(B149*(1+Plan!$C$9/12),Plan!$D$9+IF(Plan!$E$9=$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IF(N(C149)&lt;=0,0,MIN(C149*(1+Plan!$C$10/12),Plan!$D$10+IF(Plan!$E$10=$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IF(N(D149)&lt;=0,0,MIN(D149*(1+Plan!$C$11/12),Plan!$D$11+IF(Plan!$E$11=$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IF(N(E149)&lt;=0,0,MIN(E149*(1+Plan!$C$12/12),Plan!$D$12+IF(Plan!$E$12=$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IF(N(F149)&lt;=0,0,MIN(F149*(1+Plan!$C$13/12),Plan!$D$13+IF(Plan!$E$13=$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IF(N(G149)&lt;=0,0,MIN(G149*(1+Plan!$C$14/12),Plan!$D$14+IF(Plan!$E$14=$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IF(N(H149)&lt;=0,0,MIN(H149*(1+Plan!$C$15/12),Plan!$D$15+IF(Plan!$E$15=$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IF(N(I149)&lt;=0,0,MIN(I149*(1+Plan!$C$16/12),Plan!$D$16+IF(Plan!$E$16=$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IF(N(J149)&lt;=0,0,MIN(J149*(1+Plan!$C$17/12),Plan!$D$17+IF(Plan!$E$17=$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IF(N(K149)&lt;=0,0,MIN(K149*(1+Plan!$C$18/12),Plan!$D$18+IF(Plan!$E$18=$L150,Plan!$B$5+IF(AND(N(Plan!$B$9)&gt;0,N(B149)&lt;=0),Plan!$D$9,0)+IF(AND(N(Plan!$B$10)&gt;0,N(C149)&lt;=0),Plan!$D$10,0)+IF(AND(N(Plan!$B$11)&gt;0,N(D149)&lt;=0),Plan!$D$11,0)+IF(AND(N(Plan!$B$12)&gt;0,N(E149)&lt;=0),Plan!$D$12,0)+IF(AND(N(Plan!$B$13)&gt;0,N(F149)&lt;=0),Plan!$D$13,0)+IF(AND(N(Plan!$B$14)&gt;0,N(G149)&lt;=0),Plan!$D$14,0)+IF(AND(N(Plan!$B$15)&gt;0,N(H149)&lt;=0),Plan!$D$15,0)+IF(AND(N(Plan!$B$16)&gt;0,N(I149)&lt;=0),Plan!$D$16,0)+IF(AND(N(Plan!$B$17)&gt;0,N(J149)&lt;=0),Plan!$D$17,0)+IF(AND(N(Plan!$B$18)&gt;0,N(K149)&lt;=0),Plan!$D$18,0),0)))</f>
        <v/>
      </c>
    </row>
    <row r="151">
      <c r="A151" s="17" t="n">
        <v>147</v>
      </c>
      <c r="B151" s="18">
        <f>IF(N(B150)&lt;=0,0,MAX(0,B150*(1+Plan!$C$9/12)-(Plan!$D$9+IF(Plan!$E$9=$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C151" s="18">
        <f>IF(N(C150)&lt;=0,0,MAX(0,C150*(1+Plan!$C$10/12)-(Plan!$D$10+IF(Plan!$E$10=$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D151" s="18">
        <f>IF(N(D150)&lt;=0,0,MAX(0,D150*(1+Plan!$C$11/12)-(Plan!$D$11+IF(Plan!$E$11=$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E151" s="18">
        <f>IF(N(E150)&lt;=0,0,MAX(0,E150*(1+Plan!$C$12/12)-(Plan!$D$12+IF(Plan!$E$12=$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F151" s="18">
        <f>IF(N(F150)&lt;=0,0,MAX(0,F150*(1+Plan!$C$13/12)-(Plan!$D$13+IF(Plan!$E$13=$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G151" s="18">
        <f>IF(N(G150)&lt;=0,0,MAX(0,G150*(1+Plan!$C$14/12)-(Plan!$D$14+IF(Plan!$E$14=$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H151" s="18">
        <f>IF(N(H150)&lt;=0,0,MAX(0,H150*(1+Plan!$C$15/12)-(Plan!$D$15+IF(Plan!$E$15=$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I151" s="18">
        <f>IF(N(I150)&lt;=0,0,MAX(0,I150*(1+Plan!$C$16/12)-(Plan!$D$16+IF(Plan!$E$16=$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J151" s="18">
        <f>IF(N(J150)&lt;=0,0,MAX(0,J150*(1+Plan!$C$17/12)-(Plan!$D$17+IF(Plan!$E$17=$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K151" s="18">
        <f>IF(N(K150)&lt;=0,0,MAX(0,K150*(1+Plan!$C$18/12)-(Plan!$D$18+IF(Plan!$E$18=$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c r="L151" s="19">
        <f>MIN(IF(N(B150)&gt;0,Plan!$E$9,999),IF(N(C150)&gt;0,Plan!$E$10,999),IF(N(D150)&gt;0,Plan!$E$11,999),IF(N(E150)&gt;0,Plan!$E$12,999),IF(N(F150)&gt;0,Plan!$E$13,999),IF(N(G150)&gt;0,Plan!$E$14,999),IF(N(H150)&gt;0,Plan!$E$15,999),IF(N(I150)&gt;0,Plan!$E$16,999),IF(N(J150)&gt;0,Plan!$E$17,999),IF(N(K150)&gt;0,Plan!$E$18,999))</f>
        <v/>
      </c>
      <c r="M151" s="18">
        <f>IF(N(B150)&lt;=0,0,MIN(B150*(1+Plan!$C$9/12),Plan!$D$9+IF(Plan!$E$9=$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IF(N(C150)&lt;=0,0,MIN(C150*(1+Plan!$C$10/12),Plan!$D$10+IF(Plan!$E$10=$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IF(N(D150)&lt;=0,0,MIN(D150*(1+Plan!$C$11/12),Plan!$D$11+IF(Plan!$E$11=$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IF(N(E150)&lt;=0,0,MIN(E150*(1+Plan!$C$12/12),Plan!$D$12+IF(Plan!$E$12=$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IF(N(F150)&lt;=0,0,MIN(F150*(1+Plan!$C$13/12),Plan!$D$13+IF(Plan!$E$13=$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IF(N(G150)&lt;=0,0,MIN(G150*(1+Plan!$C$14/12),Plan!$D$14+IF(Plan!$E$14=$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IF(N(H150)&lt;=0,0,MIN(H150*(1+Plan!$C$15/12),Plan!$D$15+IF(Plan!$E$15=$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IF(N(I150)&lt;=0,0,MIN(I150*(1+Plan!$C$16/12),Plan!$D$16+IF(Plan!$E$16=$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IF(N(J150)&lt;=0,0,MIN(J150*(1+Plan!$C$17/12),Plan!$D$17+IF(Plan!$E$17=$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IF(N(K150)&lt;=0,0,MIN(K150*(1+Plan!$C$18/12),Plan!$D$18+IF(Plan!$E$18=$L151,Plan!$B$5+IF(AND(N(Plan!$B$9)&gt;0,N(B150)&lt;=0),Plan!$D$9,0)+IF(AND(N(Plan!$B$10)&gt;0,N(C150)&lt;=0),Plan!$D$10,0)+IF(AND(N(Plan!$B$11)&gt;0,N(D150)&lt;=0),Plan!$D$11,0)+IF(AND(N(Plan!$B$12)&gt;0,N(E150)&lt;=0),Plan!$D$12,0)+IF(AND(N(Plan!$B$13)&gt;0,N(F150)&lt;=0),Plan!$D$13,0)+IF(AND(N(Plan!$B$14)&gt;0,N(G150)&lt;=0),Plan!$D$14,0)+IF(AND(N(Plan!$B$15)&gt;0,N(H150)&lt;=0),Plan!$D$15,0)+IF(AND(N(Plan!$B$16)&gt;0,N(I150)&lt;=0),Plan!$D$16,0)+IF(AND(N(Plan!$B$17)&gt;0,N(J150)&lt;=0),Plan!$D$17,0)+IF(AND(N(Plan!$B$18)&gt;0,N(K150)&lt;=0),Plan!$D$18,0),0)))</f>
        <v/>
      </c>
    </row>
    <row r="152">
      <c r="A152" s="17" t="n">
        <v>148</v>
      </c>
      <c r="B152" s="18">
        <f>IF(N(B151)&lt;=0,0,MAX(0,B151*(1+Plan!$C$9/12)-(Plan!$D$9+IF(Plan!$E$9=$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C152" s="18">
        <f>IF(N(C151)&lt;=0,0,MAX(0,C151*(1+Plan!$C$10/12)-(Plan!$D$10+IF(Plan!$E$10=$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D152" s="18">
        <f>IF(N(D151)&lt;=0,0,MAX(0,D151*(1+Plan!$C$11/12)-(Plan!$D$11+IF(Plan!$E$11=$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E152" s="18">
        <f>IF(N(E151)&lt;=0,0,MAX(0,E151*(1+Plan!$C$12/12)-(Plan!$D$12+IF(Plan!$E$12=$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F152" s="18">
        <f>IF(N(F151)&lt;=0,0,MAX(0,F151*(1+Plan!$C$13/12)-(Plan!$D$13+IF(Plan!$E$13=$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G152" s="18">
        <f>IF(N(G151)&lt;=0,0,MAX(0,G151*(1+Plan!$C$14/12)-(Plan!$D$14+IF(Plan!$E$14=$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H152" s="18">
        <f>IF(N(H151)&lt;=0,0,MAX(0,H151*(1+Plan!$C$15/12)-(Plan!$D$15+IF(Plan!$E$15=$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I152" s="18">
        <f>IF(N(I151)&lt;=0,0,MAX(0,I151*(1+Plan!$C$16/12)-(Plan!$D$16+IF(Plan!$E$16=$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J152" s="18">
        <f>IF(N(J151)&lt;=0,0,MAX(0,J151*(1+Plan!$C$17/12)-(Plan!$D$17+IF(Plan!$E$17=$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K152" s="18">
        <f>IF(N(K151)&lt;=0,0,MAX(0,K151*(1+Plan!$C$18/12)-(Plan!$D$18+IF(Plan!$E$18=$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c r="L152" s="19">
        <f>MIN(IF(N(B151)&gt;0,Plan!$E$9,999),IF(N(C151)&gt;0,Plan!$E$10,999),IF(N(D151)&gt;0,Plan!$E$11,999),IF(N(E151)&gt;0,Plan!$E$12,999),IF(N(F151)&gt;0,Plan!$E$13,999),IF(N(G151)&gt;0,Plan!$E$14,999),IF(N(H151)&gt;0,Plan!$E$15,999),IF(N(I151)&gt;0,Plan!$E$16,999),IF(N(J151)&gt;0,Plan!$E$17,999),IF(N(K151)&gt;0,Plan!$E$18,999))</f>
        <v/>
      </c>
      <c r="M152" s="18">
        <f>IF(N(B151)&lt;=0,0,MIN(B151*(1+Plan!$C$9/12),Plan!$D$9+IF(Plan!$E$9=$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IF(N(C151)&lt;=0,0,MIN(C151*(1+Plan!$C$10/12),Plan!$D$10+IF(Plan!$E$10=$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IF(N(D151)&lt;=0,0,MIN(D151*(1+Plan!$C$11/12),Plan!$D$11+IF(Plan!$E$11=$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IF(N(E151)&lt;=0,0,MIN(E151*(1+Plan!$C$12/12),Plan!$D$12+IF(Plan!$E$12=$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IF(N(F151)&lt;=0,0,MIN(F151*(1+Plan!$C$13/12),Plan!$D$13+IF(Plan!$E$13=$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IF(N(G151)&lt;=0,0,MIN(G151*(1+Plan!$C$14/12),Plan!$D$14+IF(Plan!$E$14=$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IF(N(H151)&lt;=0,0,MIN(H151*(1+Plan!$C$15/12),Plan!$D$15+IF(Plan!$E$15=$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IF(N(I151)&lt;=0,0,MIN(I151*(1+Plan!$C$16/12),Plan!$D$16+IF(Plan!$E$16=$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IF(N(J151)&lt;=0,0,MIN(J151*(1+Plan!$C$17/12),Plan!$D$17+IF(Plan!$E$17=$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IF(N(K151)&lt;=0,0,MIN(K151*(1+Plan!$C$18/12),Plan!$D$18+IF(Plan!$E$18=$L152,Plan!$B$5+IF(AND(N(Plan!$B$9)&gt;0,N(B151)&lt;=0),Plan!$D$9,0)+IF(AND(N(Plan!$B$10)&gt;0,N(C151)&lt;=0),Plan!$D$10,0)+IF(AND(N(Plan!$B$11)&gt;0,N(D151)&lt;=0),Plan!$D$11,0)+IF(AND(N(Plan!$B$12)&gt;0,N(E151)&lt;=0),Plan!$D$12,0)+IF(AND(N(Plan!$B$13)&gt;0,N(F151)&lt;=0),Plan!$D$13,0)+IF(AND(N(Plan!$B$14)&gt;0,N(G151)&lt;=0),Plan!$D$14,0)+IF(AND(N(Plan!$B$15)&gt;0,N(H151)&lt;=0),Plan!$D$15,0)+IF(AND(N(Plan!$B$16)&gt;0,N(I151)&lt;=0),Plan!$D$16,0)+IF(AND(N(Plan!$B$17)&gt;0,N(J151)&lt;=0),Plan!$D$17,0)+IF(AND(N(Plan!$B$18)&gt;0,N(K151)&lt;=0),Plan!$D$18,0),0)))</f>
        <v/>
      </c>
    </row>
    <row r="153">
      <c r="A153" s="17" t="n">
        <v>149</v>
      </c>
      <c r="B153" s="18">
        <f>IF(N(B152)&lt;=0,0,MAX(0,B152*(1+Plan!$C$9/12)-(Plan!$D$9+IF(Plan!$E$9=$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C153" s="18">
        <f>IF(N(C152)&lt;=0,0,MAX(0,C152*(1+Plan!$C$10/12)-(Plan!$D$10+IF(Plan!$E$10=$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D153" s="18">
        <f>IF(N(D152)&lt;=0,0,MAX(0,D152*(1+Plan!$C$11/12)-(Plan!$D$11+IF(Plan!$E$11=$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E153" s="18">
        <f>IF(N(E152)&lt;=0,0,MAX(0,E152*(1+Plan!$C$12/12)-(Plan!$D$12+IF(Plan!$E$12=$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F153" s="18">
        <f>IF(N(F152)&lt;=0,0,MAX(0,F152*(1+Plan!$C$13/12)-(Plan!$D$13+IF(Plan!$E$13=$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G153" s="18">
        <f>IF(N(G152)&lt;=0,0,MAX(0,G152*(1+Plan!$C$14/12)-(Plan!$D$14+IF(Plan!$E$14=$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H153" s="18">
        <f>IF(N(H152)&lt;=0,0,MAX(0,H152*(1+Plan!$C$15/12)-(Plan!$D$15+IF(Plan!$E$15=$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I153" s="18">
        <f>IF(N(I152)&lt;=0,0,MAX(0,I152*(1+Plan!$C$16/12)-(Plan!$D$16+IF(Plan!$E$16=$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J153" s="18">
        <f>IF(N(J152)&lt;=0,0,MAX(0,J152*(1+Plan!$C$17/12)-(Plan!$D$17+IF(Plan!$E$17=$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K153" s="18">
        <f>IF(N(K152)&lt;=0,0,MAX(0,K152*(1+Plan!$C$18/12)-(Plan!$D$18+IF(Plan!$E$18=$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c r="L153" s="19">
        <f>MIN(IF(N(B152)&gt;0,Plan!$E$9,999),IF(N(C152)&gt;0,Plan!$E$10,999),IF(N(D152)&gt;0,Plan!$E$11,999),IF(N(E152)&gt;0,Plan!$E$12,999),IF(N(F152)&gt;0,Plan!$E$13,999),IF(N(G152)&gt;0,Plan!$E$14,999),IF(N(H152)&gt;0,Plan!$E$15,999),IF(N(I152)&gt;0,Plan!$E$16,999),IF(N(J152)&gt;0,Plan!$E$17,999),IF(N(K152)&gt;0,Plan!$E$18,999))</f>
        <v/>
      </c>
      <c r="M153" s="18">
        <f>IF(N(B152)&lt;=0,0,MIN(B152*(1+Plan!$C$9/12),Plan!$D$9+IF(Plan!$E$9=$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IF(N(C152)&lt;=0,0,MIN(C152*(1+Plan!$C$10/12),Plan!$D$10+IF(Plan!$E$10=$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IF(N(D152)&lt;=0,0,MIN(D152*(1+Plan!$C$11/12),Plan!$D$11+IF(Plan!$E$11=$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IF(N(E152)&lt;=0,0,MIN(E152*(1+Plan!$C$12/12),Plan!$D$12+IF(Plan!$E$12=$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IF(N(F152)&lt;=0,0,MIN(F152*(1+Plan!$C$13/12),Plan!$D$13+IF(Plan!$E$13=$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IF(N(G152)&lt;=0,0,MIN(G152*(1+Plan!$C$14/12),Plan!$D$14+IF(Plan!$E$14=$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IF(N(H152)&lt;=0,0,MIN(H152*(1+Plan!$C$15/12),Plan!$D$15+IF(Plan!$E$15=$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IF(N(I152)&lt;=0,0,MIN(I152*(1+Plan!$C$16/12),Plan!$D$16+IF(Plan!$E$16=$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IF(N(J152)&lt;=0,0,MIN(J152*(1+Plan!$C$17/12),Plan!$D$17+IF(Plan!$E$17=$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IF(N(K152)&lt;=0,0,MIN(K152*(1+Plan!$C$18/12),Plan!$D$18+IF(Plan!$E$18=$L153,Plan!$B$5+IF(AND(N(Plan!$B$9)&gt;0,N(B152)&lt;=0),Plan!$D$9,0)+IF(AND(N(Plan!$B$10)&gt;0,N(C152)&lt;=0),Plan!$D$10,0)+IF(AND(N(Plan!$B$11)&gt;0,N(D152)&lt;=0),Plan!$D$11,0)+IF(AND(N(Plan!$B$12)&gt;0,N(E152)&lt;=0),Plan!$D$12,0)+IF(AND(N(Plan!$B$13)&gt;0,N(F152)&lt;=0),Plan!$D$13,0)+IF(AND(N(Plan!$B$14)&gt;0,N(G152)&lt;=0),Plan!$D$14,0)+IF(AND(N(Plan!$B$15)&gt;0,N(H152)&lt;=0),Plan!$D$15,0)+IF(AND(N(Plan!$B$16)&gt;0,N(I152)&lt;=0),Plan!$D$16,0)+IF(AND(N(Plan!$B$17)&gt;0,N(J152)&lt;=0),Plan!$D$17,0)+IF(AND(N(Plan!$B$18)&gt;0,N(K152)&lt;=0),Plan!$D$18,0),0)))</f>
        <v/>
      </c>
    </row>
    <row r="154">
      <c r="A154" s="17" t="n">
        <v>150</v>
      </c>
      <c r="B154" s="18">
        <f>IF(N(B153)&lt;=0,0,MAX(0,B153*(1+Plan!$C$9/12)-(Plan!$D$9+IF(Plan!$E$9=$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C154" s="18">
        <f>IF(N(C153)&lt;=0,0,MAX(0,C153*(1+Plan!$C$10/12)-(Plan!$D$10+IF(Plan!$E$10=$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D154" s="18">
        <f>IF(N(D153)&lt;=0,0,MAX(0,D153*(1+Plan!$C$11/12)-(Plan!$D$11+IF(Plan!$E$11=$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E154" s="18">
        <f>IF(N(E153)&lt;=0,0,MAX(0,E153*(1+Plan!$C$12/12)-(Plan!$D$12+IF(Plan!$E$12=$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F154" s="18">
        <f>IF(N(F153)&lt;=0,0,MAX(0,F153*(1+Plan!$C$13/12)-(Plan!$D$13+IF(Plan!$E$13=$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G154" s="18">
        <f>IF(N(G153)&lt;=0,0,MAX(0,G153*(1+Plan!$C$14/12)-(Plan!$D$14+IF(Plan!$E$14=$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H154" s="18">
        <f>IF(N(H153)&lt;=0,0,MAX(0,H153*(1+Plan!$C$15/12)-(Plan!$D$15+IF(Plan!$E$15=$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I154" s="18">
        <f>IF(N(I153)&lt;=0,0,MAX(0,I153*(1+Plan!$C$16/12)-(Plan!$D$16+IF(Plan!$E$16=$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J154" s="18">
        <f>IF(N(J153)&lt;=0,0,MAX(0,J153*(1+Plan!$C$17/12)-(Plan!$D$17+IF(Plan!$E$17=$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K154" s="18">
        <f>IF(N(K153)&lt;=0,0,MAX(0,K153*(1+Plan!$C$18/12)-(Plan!$D$18+IF(Plan!$E$18=$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c r="L154" s="19">
        <f>MIN(IF(N(B153)&gt;0,Plan!$E$9,999),IF(N(C153)&gt;0,Plan!$E$10,999),IF(N(D153)&gt;0,Plan!$E$11,999),IF(N(E153)&gt;0,Plan!$E$12,999),IF(N(F153)&gt;0,Plan!$E$13,999),IF(N(G153)&gt;0,Plan!$E$14,999),IF(N(H153)&gt;0,Plan!$E$15,999),IF(N(I153)&gt;0,Plan!$E$16,999),IF(N(J153)&gt;0,Plan!$E$17,999),IF(N(K153)&gt;0,Plan!$E$18,999))</f>
        <v/>
      </c>
      <c r="M154" s="18">
        <f>IF(N(B153)&lt;=0,0,MIN(B153*(1+Plan!$C$9/12),Plan!$D$9+IF(Plan!$E$9=$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IF(N(C153)&lt;=0,0,MIN(C153*(1+Plan!$C$10/12),Plan!$D$10+IF(Plan!$E$10=$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IF(N(D153)&lt;=0,0,MIN(D153*(1+Plan!$C$11/12),Plan!$D$11+IF(Plan!$E$11=$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IF(N(E153)&lt;=0,0,MIN(E153*(1+Plan!$C$12/12),Plan!$D$12+IF(Plan!$E$12=$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IF(N(F153)&lt;=0,0,MIN(F153*(1+Plan!$C$13/12),Plan!$D$13+IF(Plan!$E$13=$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IF(N(G153)&lt;=0,0,MIN(G153*(1+Plan!$C$14/12),Plan!$D$14+IF(Plan!$E$14=$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IF(N(H153)&lt;=0,0,MIN(H153*(1+Plan!$C$15/12),Plan!$D$15+IF(Plan!$E$15=$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IF(N(I153)&lt;=0,0,MIN(I153*(1+Plan!$C$16/12),Plan!$D$16+IF(Plan!$E$16=$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IF(N(J153)&lt;=0,0,MIN(J153*(1+Plan!$C$17/12),Plan!$D$17+IF(Plan!$E$17=$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IF(N(K153)&lt;=0,0,MIN(K153*(1+Plan!$C$18/12),Plan!$D$18+IF(Plan!$E$18=$L154,Plan!$B$5+IF(AND(N(Plan!$B$9)&gt;0,N(B153)&lt;=0),Plan!$D$9,0)+IF(AND(N(Plan!$B$10)&gt;0,N(C153)&lt;=0),Plan!$D$10,0)+IF(AND(N(Plan!$B$11)&gt;0,N(D153)&lt;=0),Plan!$D$11,0)+IF(AND(N(Plan!$B$12)&gt;0,N(E153)&lt;=0),Plan!$D$12,0)+IF(AND(N(Plan!$B$13)&gt;0,N(F153)&lt;=0),Plan!$D$13,0)+IF(AND(N(Plan!$B$14)&gt;0,N(G153)&lt;=0),Plan!$D$14,0)+IF(AND(N(Plan!$B$15)&gt;0,N(H153)&lt;=0),Plan!$D$15,0)+IF(AND(N(Plan!$B$16)&gt;0,N(I153)&lt;=0),Plan!$D$16,0)+IF(AND(N(Plan!$B$17)&gt;0,N(J153)&lt;=0),Plan!$D$17,0)+IF(AND(N(Plan!$B$18)&gt;0,N(K153)&lt;=0),Plan!$D$18,0),0)))</f>
        <v/>
      </c>
    </row>
    <row r="155">
      <c r="A155" s="17" t="n">
        <v>151</v>
      </c>
      <c r="B155" s="18">
        <f>IF(N(B154)&lt;=0,0,MAX(0,B154*(1+Plan!$C$9/12)-(Plan!$D$9+IF(Plan!$E$9=$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C155" s="18">
        <f>IF(N(C154)&lt;=0,0,MAX(0,C154*(1+Plan!$C$10/12)-(Plan!$D$10+IF(Plan!$E$10=$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D155" s="18">
        <f>IF(N(D154)&lt;=0,0,MAX(0,D154*(1+Plan!$C$11/12)-(Plan!$D$11+IF(Plan!$E$11=$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E155" s="18">
        <f>IF(N(E154)&lt;=0,0,MAX(0,E154*(1+Plan!$C$12/12)-(Plan!$D$12+IF(Plan!$E$12=$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F155" s="18">
        <f>IF(N(F154)&lt;=0,0,MAX(0,F154*(1+Plan!$C$13/12)-(Plan!$D$13+IF(Plan!$E$13=$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G155" s="18">
        <f>IF(N(G154)&lt;=0,0,MAX(0,G154*(1+Plan!$C$14/12)-(Plan!$D$14+IF(Plan!$E$14=$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H155" s="18">
        <f>IF(N(H154)&lt;=0,0,MAX(0,H154*(1+Plan!$C$15/12)-(Plan!$D$15+IF(Plan!$E$15=$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I155" s="18">
        <f>IF(N(I154)&lt;=0,0,MAX(0,I154*(1+Plan!$C$16/12)-(Plan!$D$16+IF(Plan!$E$16=$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J155" s="18">
        <f>IF(N(J154)&lt;=0,0,MAX(0,J154*(1+Plan!$C$17/12)-(Plan!$D$17+IF(Plan!$E$17=$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K155" s="18">
        <f>IF(N(K154)&lt;=0,0,MAX(0,K154*(1+Plan!$C$18/12)-(Plan!$D$18+IF(Plan!$E$18=$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c r="L155" s="19">
        <f>MIN(IF(N(B154)&gt;0,Plan!$E$9,999),IF(N(C154)&gt;0,Plan!$E$10,999),IF(N(D154)&gt;0,Plan!$E$11,999),IF(N(E154)&gt;0,Plan!$E$12,999),IF(N(F154)&gt;0,Plan!$E$13,999),IF(N(G154)&gt;0,Plan!$E$14,999),IF(N(H154)&gt;0,Plan!$E$15,999),IF(N(I154)&gt;0,Plan!$E$16,999),IF(N(J154)&gt;0,Plan!$E$17,999),IF(N(K154)&gt;0,Plan!$E$18,999))</f>
        <v/>
      </c>
      <c r="M155" s="18">
        <f>IF(N(B154)&lt;=0,0,MIN(B154*(1+Plan!$C$9/12),Plan!$D$9+IF(Plan!$E$9=$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IF(N(C154)&lt;=0,0,MIN(C154*(1+Plan!$C$10/12),Plan!$D$10+IF(Plan!$E$10=$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IF(N(D154)&lt;=0,0,MIN(D154*(1+Plan!$C$11/12),Plan!$D$11+IF(Plan!$E$11=$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IF(N(E154)&lt;=0,0,MIN(E154*(1+Plan!$C$12/12),Plan!$D$12+IF(Plan!$E$12=$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IF(N(F154)&lt;=0,0,MIN(F154*(1+Plan!$C$13/12),Plan!$D$13+IF(Plan!$E$13=$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IF(N(G154)&lt;=0,0,MIN(G154*(1+Plan!$C$14/12),Plan!$D$14+IF(Plan!$E$14=$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IF(N(H154)&lt;=0,0,MIN(H154*(1+Plan!$C$15/12),Plan!$D$15+IF(Plan!$E$15=$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IF(N(I154)&lt;=0,0,MIN(I154*(1+Plan!$C$16/12),Plan!$D$16+IF(Plan!$E$16=$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IF(N(J154)&lt;=0,0,MIN(J154*(1+Plan!$C$17/12),Plan!$D$17+IF(Plan!$E$17=$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IF(N(K154)&lt;=0,0,MIN(K154*(1+Plan!$C$18/12),Plan!$D$18+IF(Plan!$E$18=$L155,Plan!$B$5+IF(AND(N(Plan!$B$9)&gt;0,N(B154)&lt;=0),Plan!$D$9,0)+IF(AND(N(Plan!$B$10)&gt;0,N(C154)&lt;=0),Plan!$D$10,0)+IF(AND(N(Plan!$B$11)&gt;0,N(D154)&lt;=0),Plan!$D$11,0)+IF(AND(N(Plan!$B$12)&gt;0,N(E154)&lt;=0),Plan!$D$12,0)+IF(AND(N(Plan!$B$13)&gt;0,N(F154)&lt;=0),Plan!$D$13,0)+IF(AND(N(Plan!$B$14)&gt;0,N(G154)&lt;=0),Plan!$D$14,0)+IF(AND(N(Plan!$B$15)&gt;0,N(H154)&lt;=0),Plan!$D$15,0)+IF(AND(N(Plan!$B$16)&gt;0,N(I154)&lt;=0),Plan!$D$16,0)+IF(AND(N(Plan!$B$17)&gt;0,N(J154)&lt;=0),Plan!$D$17,0)+IF(AND(N(Plan!$B$18)&gt;0,N(K154)&lt;=0),Plan!$D$18,0),0)))</f>
        <v/>
      </c>
    </row>
    <row r="156">
      <c r="A156" s="17" t="n">
        <v>152</v>
      </c>
      <c r="B156" s="18">
        <f>IF(N(B155)&lt;=0,0,MAX(0,B155*(1+Plan!$C$9/12)-(Plan!$D$9+IF(Plan!$E$9=$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C156" s="18">
        <f>IF(N(C155)&lt;=0,0,MAX(0,C155*(1+Plan!$C$10/12)-(Plan!$D$10+IF(Plan!$E$10=$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D156" s="18">
        <f>IF(N(D155)&lt;=0,0,MAX(0,D155*(1+Plan!$C$11/12)-(Plan!$D$11+IF(Plan!$E$11=$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E156" s="18">
        <f>IF(N(E155)&lt;=0,0,MAX(0,E155*(1+Plan!$C$12/12)-(Plan!$D$12+IF(Plan!$E$12=$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F156" s="18">
        <f>IF(N(F155)&lt;=0,0,MAX(0,F155*(1+Plan!$C$13/12)-(Plan!$D$13+IF(Plan!$E$13=$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G156" s="18">
        <f>IF(N(G155)&lt;=0,0,MAX(0,G155*(1+Plan!$C$14/12)-(Plan!$D$14+IF(Plan!$E$14=$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H156" s="18">
        <f>IF(N(H155)&lt;=0,0,MAX(0,H155*(1+Plan!$C$15/12)-(Plan!$D$15+IF(Plan!$E$15=$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I156" s="18">
        <f>IF(N(I155)&lt;=0,0,MAX(0,I155*(1+Plan!$C$16/12)-(Plan!$D$16+IF(Plan!$E$16=$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J156" s="18">
        <f>IF(N(J155)&lt;=0,0,MAX(0,J155*(1+Plan!$C$17/12)-(Plan!$D$17+IF(Plan!$E$17=$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K156" s="18">
        <f>IF(N(K155)&lt;=0,0,MAX(0,K155*(1+Plan!$C$18/12)-(Plan!$D$18+IF(Plan!$E$18=$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c r="L156" s="19">
        <f>MIN(IF(N(B155)&gt;0,Plan!$E$9,999),IF(N(C155)&gt;0,Plan!$E$10,999),IF(N(D155)&gt;0,Plan!$E$11,999),IF(N(E155)&gt;0,Plan!$E$12,999),IF(N(F155)&gt;0,Plan!$E$13,999),IF(N(G155)&gt;0,Plan!$E$14,999),IF(N(H155)&gt;0,Plan!$E$15,999),IF(N(I155)&gt;0,Plan!$E$16,999),IF(N(J155)&gt;0,Plan!$E$17,999),IF(N(K155)&gt;0,Plan!$E$18,999))</f>
        <v/>
      </c>
      <c r="M156" s="18">
        <f>IF(N(B155)&lt;=0,0,MIN(B155*(1+Plan!$C$9/12),Plan!$D$9+IF(Plan!$E$9=$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IF(N(C155)&lt;=0,0,MIN(C155*(1+Plan!$C$10/12),Plan!$D$10+IF(Plan!$E$10=$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IF(N(D155)&lt;=0,0,MIN(D155*(1+Plan!$C$11/12),Plan!$D$11+IF(Plan!$E$11=$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IF(N(E155)&lt;=0,0,MIN(E155*(1+Plan!$C$12/12),Plan!$D$12+IF(Plan!$E$12=$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IF(N(F155)&lt;=0,0,MIN(F155*(1+Plan!$C$13/12),Plan!$D$13+IF(Plan!$E$13=$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IF(N(G155)&lt;=0,0,MIN(G155*(1+Plan!$C$14/12),Plan!$D$14+IF(Plan!$E$14=$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IF(N(H155)&lt;=0,0,MIN(H155*(1+Plan!$C$15/12),Plan!$D$15+IF(Plan!$E$15=$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IF(N(I155)&lt;=0,0,MIN(I155*(1+Plan!$C$16/12),Plan!$D$16+IF(Plan!$E$16=$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IF(N(J155)&lt;=0,0,MIN(J155*(1+Plan!$C$17/12),Plan!$D$17+IF(Plan!$E$17=$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IF(N(K155)&lt;=0,0,MIN(K155*(1+Plan!$C$18/12),Plan!$D$18+IF(Plan!$E$18=$L156,Plan!$B$5+IF(AND(N(Plan!$B$9)&gt;0,N(B155)&lt;=0),Plan!$D$9,0)+IF(AND(N(Plan!$B$10)&gt;0,N(C155)&lt;=0),Plan!$D$10,0)+IF(AND(N(Plan!$B$11)&gt;0,N(D155)&lt;=0),Plan!$D$11,0)+IF(AND(N(Plan!$B$12)&gt;0,N(E155)&lt;=0),Plan!$D$12,0)+IF(AND(N(Plan!$B$13)&gt;0,N(F155)&lt;=0),Plan!$D$13,0)+IF(AND(N(Plan!$B$14)&gt;0,N(G155)&lt;=0),Plan!$D$14,0)+IF(AND(N(Plan!$B$15)&gt;0,N(H155)&lt;=0),Plan!$D$15,0)+IF(AND(N(Plan!$B$16)&gt;0,N(I155)&lt;=0),Plan!$D$16,0)+IF(AND(N(Plan!$B$17)&gt;0,N(J155)&lt;=0),Plan!$D$17,0)+IF(AND(N(Plan!$B$18)&gt;0,N(K155)&lt;=0),Plan!$D$18,0),0)))</f>
        <v/>
      </c>
    </row>
    <row r="157">
      <c r="A157" s="17" t="n">
        <v>153</v>
      </c>
      <c r="B157" s="18">
        <f>IF(N(B156)&lt;=0,0,MAX(0,B156*(1+Plan!$C$9/12)-(Plan!$D$9+IF(Plan!$E$9=$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C157" s="18">
        <f>IF(N(C156)&lt;=0,0,MAX(0,C156*(1+Plan!$C$10/12)-(Plan!$D$10+IF(Plan!$E$10=$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D157" s="18">
        <f>IF(N(D156)&lt;=0,0,MAX(0,D156*(1+Plan!$C$11/12)-(Plan!$D$11+IF(Plan!$E$11=$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E157" s="18">
        <f>IF(N(E156)&lt;=0,0,MAX(0,E156*(1+Plan!$C$12/12)-(Plan!$D$12+IF(Plan!$E$12=$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F157" s="18">
        <f>IF(N(F156)&lt;=0,0,MAX(0,F156*(1+Plan!$C$13/12)-(Plan!$D$13+IF(Plan!$E$13=$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G157" s="18">
        <f>IF(N(G156)&lt;=0,0,MAX(0,G156*(1+Plan!$C$14/12)-(Plan!$D$14+IF(Plan!$E$14=$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H157" s="18">
        <f>IF(N(H156)&lt;=0,0,MAX(0,H156*(1+Plan!$C$15/12)-(Plan!$D$15+IF(Plan!$E$15=$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I157" s="18">
        <f>IF(N(I156)&lt;=0,0,MAX(0,I156*(1+Plan!$C$16/12)-(Plan!$D$16+IF(Plan!$E$16=$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J157" s="18">
        <f>IF(N(J156)&lt;=0,0,MAX(0,J156*(1+Plan!$C$17/12)-(Plan!$D$17+IF(Plan!$E$17=$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K157" s="18">
        <f>IF(N(K156)&lt;=0,0,MAX(0,K156*(1+Plan!$C$18/12)-(Plan!$D$18+IF(Plan!$E$18=$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c r="L157" s="19">
        <f>MIN(IF(N(B156)&gt;0,Plan!$E$9,999),IF(N(C156)&gt;0,Plan!$E$10,999),IF(N(D156)&gt;0,Plan!$E$11,999),IF(N(E156)&gt;0,Plan!$E$12,999),IF(N(F156)&gt;0,Plan!$E$13,999),IF(N(G156)&gt;0,Plan!$E$14,999),IF(N(H156)&gt;0,Plan!$E$15,999),IF(N(I156)&gt;0,Plan!$E$16,999),IF(N(J156)&gt;0,Plan!$E$17,999),IF(N(K156)&gt;0,Plan!$E$18,999))</f>
        <v/>
      </c>
      <c r="M157" s="18">
        <f>IF(N(B156)&lt;=0,0,MIN(B156*(1+Plan!$C$9/12),Plan!$D$9+IF(Plan!$E$9=$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IF(N(C156)&lt;=0,0,MIN(C156*(1+Plan!$C$10/12),Plan!$D$10+IF(Plan!$E$10=$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IF(N(D156)&lt;=0,0,MIN(D156*(1+Plan!$C$11/12),Plan!$D$11+IF(Plan!$E$11=$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IF(N(E156)&lt;=0,0,MIN(E156*(1+Plan!$C$12/12),Plan!$D$12+IF(Plan!$E$12=$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IF(N(F156)&lt;=0,0,MIN(F156*(1+Plan!$C$13/12),Plan!$D$13+IF(Plan!$E$13=$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IF(N(G156)&lt;=0,0,MIN(G156*(1+Plan!$C$14/12),Plan!$D$14+IF(Plan!$E$14=$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IF(N(H156)&lt;=0,0,MIN(H156*(1+Plan!$C$15/12),Plan!$D$15+IF(Plan!$E$15=$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IF(N(I156)&lt;=0,0,MIN(I156*(1+Plan!$C$16/12),Plan!$D$16+IF(Plan!$E$16=$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IF(N(J156)&lt;=0,0,MIN(J156*(1+Plan!$C$17/12),Plan!$D$17+IF(Plan!$E$17=$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IF(N(K156)&lt;=0,0,MIN(K156*(1+Plan!$C$18/12),Plan!$D$18+IF(Plan!$E$18=$L157,Plan!$B$5+IF(AND(N(Plan!$B$9)&gt;0,N(B156)&lt;=0),Plan!$D$9,0)+IF(AND(N(Plan!$B$10)&gt;0,N(C156)&lt;=0),Plan!$D$10,0)+IF(AND(N(Plan!$B$11)&gt;0,N(D156)&lt;=0),Plan!$D$11,0)+IF(AND(N(Plan!$B$12)&gt;0,N(E156)&lt;=0),Plan!$D$12,0)+IF(AND(N(Plan!$B$13)&gt;0,N(F156)&lt;=0),Plan!$D$13,0)+IF(AND(N(Plan!$B$14)&gt;0,N(G156)&lt;=0),Plan!$D$14,0)+IF(AND(N(Plan!$B$15)&gt;0,N(H156)&lt;=0),Plan!$D$15,0)+IF(AND(N(Plan!$B$16)&gt;0,N(I156)&lt;=0),Plan!$D$16,0)+IF(AND(N(Plan!$B$17)&gt;0,N(J156)&lt;=0),Plan!$D$17,0)+IF(AND(N(Plan!$B$18)&gt;0,N(K156)&lt;=0),Plan!$D$18,0),0)))</f>
        <v/>
      </c>
    </row>
    <row r="158">
      <c r="A158" s="17" t="n">
        <v>154</v>
      </c>
      <c r="B158" s="18">
        <f>IF(N(B157)&lt;=0,0,MAX(0,B157*(1+Plan!$C$9/12)-(Plan!$D$9+IF(Plan!$E$9=$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C158" s="18">
        <f>IF(N(C157)&lt;=0,0,MAX(0,C157*(1+Plan!$C$10/12)-(Plan!$D$10+IF(Plan!$E$10=$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D158" s="18">
        <f>IF(N(D157)&lt;=0,0,MAX(0,D157*(1+Plan!$C$11/12)-(Plan!$D$11+IF(Plan!$E$11=$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E158" s="18">
        <f>IF(N(E157)&lt;=0,0,MAX(0,E157*(1+Plan!$C$12/12)-(Plan!$D$12+IF(Plan!$E$12=$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F158" s="18">
        <f>IF(N(F157)&lt;=0,0,MAX(0,F157*(1+Plan!$C$13/12)-(Plan!$D$13+IF(Plan!$E$13=$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G158" s="18">
        <f>IF(N(G157)&lt;=0,0,MAX(0,G157*(1+Plan!$C$14/12)-(Plan!$D$14+IF(Plan!$E$14=$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H158" s="18">
        <f>IF(N(H157)&lt;=0,0,MAX(0,H157*(1+Plan!$C$15/12)-(Plan!$D$15+IF(Plan!$E$15=$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I158" s="18">
        <f>IF(N(I157)&lt;=0,0,MAX(0,I157*(1+Plan!$C$16/12)-(Plan!$D$16+IF(Plan!$E$16=$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J158" s="18">
        <f>IF(N(J157)&lt;=0,0,MAX(0,J157*(1+Plan!$C$17/12)-(Plan!$D$17+IF(Plan!$E$17=$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K158" s="18">
        <f>IF(N(K157)&lt;=0,0,MAX(0,K157*(1+Plan!$C$18/12)-(Plan!$D$18+IF(Plan!$E$18=$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c r="L158" s="19">
        <f>MIN(IF(N(B157)&gt;0,Plan!$E$9,999),IF(N(C157)&gt;0,Plan!$E$10,999),IF(N(D157)&gt;0,Plan!$E$11,999),IF(N(E157)&gt;0,Plan!$E$12,999),IF(N(F157)&gt;0,Plan!$E$13,999),IF(N(G157)&gt;0,Plan!$E$14,999),IF(N(H157)&gt;0,Plan!$E$15,999),IF(N(I157)&gt;0,Plan!$E$16,999),IF(N(J157)&gt;0,Plan!$E$17,999),IF(N(K157)&gt;0,Plan!$E$18,999))</f>
        <v/>
      </c>
      <c r="M158" s="18">
        <f>IF(N(B157)&lt;=0,0,MIN(B157*(1+Plan!$C$9/12),Plan!$D$9+IF(Plan!$E$9=$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IF(N(C157)&lt;=0,0,MIN(C157*(1+Plan!$C$10/12),Plan!$D$10+IF(Plan!$E$10=$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IF(N(D157)&lt;=0,0,MIN(D157*(1+Plan!$C$11/12),Plan!$D$11+IF(Plan!$E$11=$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IF(N(E157)&lt;=0,0,MIN(E157*(1+Plan!$C$12/12),Plan!$D$12+IF(Plan!$E$12=$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IF(N(F157)&lt;=0,0,MIN(F157*(1+Plan!$C$13/12),Plan!$D$13+IF(Plan!$E$13=$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IF(N(G157)&lt;=0,0,MIN(G157*(1+Plan!$C$14/12),Plan!$D$14+IF(Plan!$E$14=$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IF(N(H157)&lt;=0,0,MIN(H157*(1+Plan!$C$15/12),Plan!$D$15+IF(Plan!$E$15=$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IF(N(I157)&lt;=0,0,MIN(I157*(1+Plan!$C$16/12),Plan!$D$16+IF(Plan!$E$16=$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IF(N(J157)&lt;=0,0,MIN(J157*(1+Plan!$C$17/12),Plan!$D$17+IF(Plan!$E$17=$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IF(N(K157)&lt;=0,0,MIN(K157*(1+Plan!$C$18/12),Plan!$D$18+IF(Plan!$E$18=$L158,Plan!$B$5+IF(AND(N(Plan!$B$9)&gt;0,N(B157)&lt;=0),Plan!$D$9,0)+IF(AND(N(Plan!$B$10)&gt;0,N(C157)&lt;=0),Plan!$D$10,0)+IF(AND(N(Plan!$B$11)&gt;0,N(D157)&lt;=0),Plan!$D$11,0)+IF(AND(N(Plan!$B$12)&gt;0,N(E157)&lt;=0),Plan!$D$12,0)+IF(AND(N(Plan!$B$13)&gt;0,N(F157)&lt;=0),Plan!$D$13,0)+IF(AND(N(Plan!$B$14)&gt;0,N(G157)&lt;=0),Plan!$D$14,0)+IF(AND(N(Plan!$B$15)&gt;0,N(H157)&lt;=0),Plan!$D$15,0)+IF(AND(N(Plan!$B$16)&gt;0,N(I157)&lt;=0),Plan!$D$16,0)+IF(AND(N(Plan!$B$17)&gt;0,N(J157)&lt;=0),Plan!$D$17,0)+IF(AND(N(Plan!$B$18)&gt;0,N(K157)&lt;=0),Plan!$D$18,0),0)))</f>
        <v/>
      </c>
    </row>
    <row r="159">
      <c r="A159" s="17" t="n">
        <v>155</v>
      </c>
      <c r="B159" s="18">
        <f>IF(N(B158)&lt;=0,0,MAX(0,B158*(1+Plan!$C$9/12)-(Plan!$D$9+IF(Plan!$E$9=$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C159" s="18">
        <f>IF(N(C158)&lt;=0,0,MAX(0,C158*(1+Plan!$C$10/12)-(Plan!$D$10+IF(Plan!$E$10=$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D159" s="18">
        <f>IF(N(D158)&lt;=0,0,MAX(0,D158*(1+Plan!$C$11/12)-(Plan!$D$11+IF(Plan!$E$11=$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E159" s="18">
        <f>IF(N(E158)&lt;=0,0,MAX(0,E158*(1+Plan!$C$12/12)-(Plan!$D$12+IF(Plan!$E$12=$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F159" s="18">
        <f>IF(N(F158)&lt;=0,0,MAX(0,F158*(1+Plan!$C$13/12)-(Plan!$D$13+IF(Plan!$E$13=$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G159" s="18">
        <f>IF(N(G158)&lt;=0,0,MAX(0,G158*(1+Plan!$C$14/12)-(Plan!$D$14+IF(Plan!$E$14=$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H159" s="18">
        <f>IF(N(H158)&lt;=0,0,MAX(0,H158*(1+Plan!$C$15/12)-(Plan!$D$15+IF(Plan!$E$15=$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I159" s="18">
        <f>IF(N(I158)&lt;=0,0,MAX(0,I158*(1+Plan!$C$16/12)-(Plan!$D$16+IF(Plan!$E$16=$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J159" s="18">
        <f>IF(N(J158)&lt;=0,0,MAX(0,J158*(1+Plan!$C$17/12)-(Plan!$D$17+IF(Plan!$E$17=$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K159" s="18">
        <f>IF(N(K158)&lt;=0,0,MAX(0,K158*(1+Plan!$C$18/12)-(Plan!$D$18+IF(Plan!$E$18=$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c r="L159" s="19">
        <f>MIN(IF(N(B158)&gt;0,Plan!$E$9,999),IF(N(C158)&gt;0,Plan!$E$10,999),IF(N(D158)&gt;0,Plan!$E$11,999),IF(N(E158)&gt;0,Plan!$E$12,999),IF(N(F158)&gt;0,Plan!$E$13,999),IF(N(G158)&gt;0,Plan!$E$14,999),IF(N(H158)&gt;0,Plan!$E$15,999),IF(N(I158)&gt;0,Plan!$E$16,999),IF(N(J158)&gt;0,Plan!$E$17,999),IF(N(K158)&gt;0,Plan!$E$18,999))</f>
        <v/>
      </c>
      <c r="M159" s="18">
        <f>IF(N(B158)&lt;=0,0,MIN(B158*(1+Plan!$C$9/12),Plan!$D$9+IF(Plan!$E$9=$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IF(N(C158)&lt;=0,0,MIN(C158*(1+Plan!$C$10/12),Plan!$D$10+IF(Plan!$E$10=$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IF(N(D158)&lt;=0,0,MIN(D158*(1+Plan!$C$11/12),Plan!$D$11+IF(Plan!$E$11=$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IF(N(E158)&lt;=0,0,MIN(E158*(1+Plan!$C$12/12),Plan!$D$12+IF(Plan!$E$12=$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IF(N(F158)&lt;=0,0,MIN(F158*(1+Plan!$C$13/12),Plan!$D$13+IF(Plan!$E$13=$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IF(N(G158)&lt;=0,0,MIN(G158*(1+Plan!$C$14/12),Plan!$D$14+IF(Plan!$E$14=$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IF(N(H158)&lt;=0,0,MIN(H158*(1+Plan!$C$15/12),Plan!$D$15+IF(Plan!$E$15=$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IF(N(I158)&lt;=0,0,MIN(I158*(1+Plan!$C$16/12),Plan!$D$16+IF(Plan!$E$16=$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IF(N(J158)&lt;=0,0,MIN(J158*(1+Plan!$C$17/12),Plan!$D$17+IF(Plan!$E$17=$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IF(N(K158)&lt;=0,0,MIN(K158*(1+Plan!$C$18/12),Plan!$D$18+IF(Plan!$E$18=$L159,Plan!$B$5+IF(AND(N(Plan!$B$9)&gt;0,N(B158)&lt;=0),Plan!$D$9,0)+IF(AND(N(Plan!$B$10)&gt;0,N(C158)&lt;=0),Plan!$D$10,0)+IF(AND(N(Plan!$B$11)&gt;0,N(D158)&lt;=0),Plan!$D$11,0)+IF(AND(N(Plan!$B$12)&gt;0,N(E158)&lt;=0),Plan!$D$12,0)+IF(AND(N(Plan!$B$13)&gt;0,N(F158)&lt;=0),Plan!$D$13,0)+IF(AND(N(Plan!$B$14)&gt;0,N(G158)&lt;=0),Plan!$D$14,0)+IF(AND(N(Plan!$B$15)&gt;0,N(H158)&lt;=0),Plan!$D$15,0)+IF(AND(N(Plan!$B$16)&gt;0,N(I158)&lt;=0),Plan!$D$16,0)+IF(AND(N(Plan!$B$17)&gt;0,N(J158)&lt;=0),Plan!$D$17,0)+IF(AND(N(Plan!$B$18)&gt;0,N(K158)&lt;=0),Plan!$D$18,0),0)))</f>
        <v/>
      </c>
    </row>
    <row r="160">
      <c r="A160" s="17" t="n">
        <v>156</v>
      </c>
      <c r="B160" s="18">
        <f>IF(N(B159)&lt;=0,0,MAX(0,B159*(1+Plan!$C$9/12)-(Plan!$D$9+IF(Plan!$E$9=$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C160" s="18">
        <f>IF(N(C159)&lt;=0,0,MAX(0,C159*(1+Plan!$C$10/12)-(Plan!$D$10+IF(Plan!$E$10=$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D160" s="18">
        <f>IF(N(D159)&lt;=0,0,MAX(0,D159*(1+Plan!$C$11/12)-(Plan!$D$11+IF(Plan!$E$11=$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E160" s="18">
        <f>IF(N(E159)&lt;=0,0,MAX(0,E159*(1+Plan!$C$12/12)-(Plan!$D$12+IF(Plan!$E$12=$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F160" s="18">
        <f>IF(N(F159)&lt;=0,0,MAX(0,F159*(1+Plan!$C$13/12)-(Plan!$D$13+IF(Plan!$E$13=$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G160" s="18">
        <f>IF(N(G159)&lt;=0,0,MAX(0,G159*(1+Plan!$C$14/12)-(Plan!$D$14+IF(Plan!$E$14=$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H160" s="18">
        <f>IF(N(H159)&lt;=0,0,MAX(0,H159*(1+Plan!$C$15/12)-(Plan!$D$15+IF(Plan!$E$15=$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I160" s="18">
        <f>IF(N(I159)&lt;=0,0,MAX(0,I159*(1+Plan!$C$16/12)-(Plan!$D$16+IF(Plan!$E$16=$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J160" s="18">
        <f>IF(N(J159)&lt;=0,0,MAX(0,J159*(1+Plan!$C$17/12)-(Plan!$D$17+IF(Plan!$E$17=$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K160" s="18">
        <f>IF(N(K159)&lt;=0,0,MAX(0,K159*(1+Plan!$C$18/12)-(Plan!$D$18+IF(Plan!$E$18=$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c r="L160" s="19">
        <f>MIN(IF(N(B159)&gt;0,Plan!$E$9,999),IF(N(C159)&gt;0,Plan!$E$10,999),IF(N(D159)&gt;0,Plan!$E$11,999),IF(N(E159)&gt;0,Plan!$E$12,999),IF(N(F159)&gt;0,Plan!$E$13,999),IF(N(G159)&gt;0,Plan!$E$14,999),IF(N(H159)&gt;0,Plan!$E$15,999),IF(N(I159)&gt;0,Plan!$E$16,999),IF(N(J159)&gt;0,Plan!$E$17,999),IF(N(K159)&gt;0,Plan!$E$18,999))</f>
        <v/>
      </c>
      <c r="M160" s="18">
        <f>IF(N(B159)&lt;=0,0,MIN(B159*(1+Plan!$C$9/12),Plan!$D$9+IF(Plan!$E$9=$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IF(N(C159)&lt;=0,0,MIN(C159*(1+Plan!$C$10/12),Plan!$D$10+IF(Plan!$E$10=$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IF(N(D159)&lt;=0,0,MIN(D159*(1+Plan!$C$11/12),Plan!$D$11+IF(Plan!$E$11=$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IF(N(E159)&lt;=0,0,MIN(E159*(1+Plan!$C$12/12),Plan!$D$12+IF(Plan!$E$12=$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IF(N(F159)&lt;=0,0,MIN(F159*(1+Plan!$C$13/12),Plan!$D$13+IF(Plan!$E$13=$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IF(N(G159)&lt;=0,0,MIN(G159*(1+Plan!$C$14/12),Plan!$D$14+IF(Plan!$E$14=$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IF(N(H159)&lt;=0,0,MIN(H159*(1+Plan!$C$15/12),Plan!$D$15+IF(Plan!$E$15=$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IF(N(I159)&lt;=0,0,MIN(I159*(1+Plan!$C$16/12),Plan!$D$16+IF(Plan!$E$16=$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IF(N(J159)&lt;=0,0,MIN(J159*(1+Plan!$C$17/12),Plan!$D$17+IF(Plan!$E$17=$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IF(N(K159)&lt;=0,0,MIN(K159*(1+Plan!$C$18/12),Plan!$D$18+IF(Plan!$E$18=$L160,Plan!$B$5+IF(AND(N(Plan!$B$9)&gt;0,N(B159)&lt;=0),Plan!$D$9,0)+IF(AND(N(Plan!$B$10)&gt;0,N(C159)&lt;=0),Plan!$D$10,0)+IF(AND(N(Plan!$B$11)&gt;0,N(D159)&lt;=0),Plan!$D$11,0)+IF(AND(N(Plan!$B$12)&gt;0,N(E159)&lt;=0),Plan!$D$12,0)+IF(AND(N(Plan!$B$13)&gt;0,N(F159)&lt;=0),Plan!$D$13,0)+IF(AND(N(Plan!$B$14)&gt;0,N(G159)&lt;=0),Plan!$D$14,0)+IF(AND(N(Plan!$B$15)&gt;0,N(H159)&lt;=0),Plan!$D$15,0)+IF(AND(N(Plan!$B$16)&gt;0,N(I159)&lt;=0),Plan!$D$16,0)+IF(AND(N(Plan!$B$17)&gt;0,N(J159)&lt;=0),Plan!$D$17,0)+IF(AND(N(Plan!$B$18)&gt;0,N(K159)&lt;=0),Plan!$D$18,0),0)))</f>
        <v/>
      </c>
    </row>
    <row r="161">
      <c r="A161" s="17" t="n">
        <v>157</v>
      </c>
      <c r="B161" s="18">
        <f>IF(N(B160)&lt;=0,0,MAX(0,B160*(1+Plan!$C$9/12)-(Plan!$D$9+IF(Plan!$E$9=$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C161" s="18">
        <f>IF(N(C160)&lt;=0,0,MAX(0,C160*(1+Plan!$C$10/12)-(Plan!$D$10+IF(Plan!$E$10=$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D161" s="18">
        <f>IF(N(D160)&lt;=0,0,MAX(0,D160*(1+Plan!$C$11/12)-(Plan!$D$11+IF(Plan!$E$11=$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E161" s="18">
        <f>IF(N(E160)&lt;=0,0,MAX(0,E160*(1+Plan!$C$12/12)-(Plan!$D$12+IF(Plan!$E$12=$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F161" s="18">
        <f>IF(N(F160)&lt;=0,0,MAX(0,F160*(1+Plan!$C$13/12)-(Plan!$D$13+IF(Plan!$E$13=$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G161" s="18">
        <f>IF(N(G160)&lt;=0,0,MAX(0,G160*(1+Plan!$C$14/12)-(Plan!$D$14+IF(Plan!$E$14=$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H161" s="18">
        <f>IF(N(H160)&lt;=0,0,MAX(0,H160*(1+Plan!$C$15/12)-(Plan!$D$15+IF(Plan!$E$15=$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I161" s="18">
        <f>IF(N(I160)&lt;=0,0,MAX(0,I160*(1+Plan!$C$16/12)-(Plan!$D$16+IF(Plan!$E$16=$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J161" s="18">
        <f>IF(N(J160)&lt;=0,0,MAX(0,J160*(1+Plan!$C$17/12)-(Plan!$D$17+IF(Plan!$E$17=$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K161" s="18">
        <f>IF(N(K160)&lt;=0,0,MAX(0,K160*(1+Plan!$C$18/12)-(Plan!$D$18+IF(Plan!$E$18=$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c r="L161" s="19">
        <f>MIN(IF(N(B160)&gt;0,Plan!$E$9,999),IF(N(C160)&gt;0,Plan!$E$10,999),IF(N(D160)&gt;0,Plan!$E$11,999),IF(N(E160)&gt;0,Plan!$E$12,999),IF(N(F160)&gt;0,Plan!$E$13,999),IF(N(G160)&gt;0,Plan!$E$14,999),IF(N(H160)&gt;0,Plan!$E$15,999),IF(N(I160)&gt;0,Plan!$E$16,999),IF(N(J160)&gt;0,Plan!$E$17,999),IF(N(K160)&gt;0,Plan!$E$18,999))</f>
        <v/>
      </c>
      <c r="M161" s="18">
        <f>IF(N(B160)&lt;=0,0,MIN(B160*(1+Plan!$C$9/12),Plan!$D$9+IF(Plan!$E$9=$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IF(N(C160)&lt;=0,0,MIN(C160*(1+Plan!$C$10/12),Plan!$D$10+IF(Plan!$E$10=$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IF(N(D160)&lt;=0,0,MIN(D160*(1+Plan!$C$11/12),Plan!$D$11+IF(Plan!$E$11=$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IF(N(E160)&lt;=0,0,MIN(E160*(1+Plan!$C$12/12),Plan!$D$12+IF(Plan!$E$12=$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IF(N(F160)&lt;=0,0,MIN(F160*(1+Plan!$C$13/12),Plan!$D$13+IF(Plan!$E$13=$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IF(N(G160)&lt;=0,0,MIN(G160*(1+Plan!$C$14/12),Plan!$D$14+IF(Plan!$E$14=$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IF(N(H160)&lt;=0,0,MIN(H160*(1+Plan!$C$15/12),Plan!$D$15+IF(Plan!$E$15=$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IF(N(I160)&lt;=0,0,MIN(I160*(1+Plan!$C$16/12),Plan!$D$16+IF(Plan!$E$16=$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IF(N(J160)&lt;=0,0,MIN(J160*(1+Plan!$C$17/12),Plan!$D$17+IF(Plan!$E$17=$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IF(N(K160)&lt;=0,0,MIN(K160*(1+Plan!$C$18/12),Plan!$D$18+IF(Plan!$E$18=$L161,Plan!$B$5+IF(AND(N(Plan!$B$9)&gt;0,N(B160)&lt;=0),Plan!$D$9,0)+IF(AND(N(Plan!$B$10)&gt;0,N(C160)&lt;=0),Plan!$D$10,0)+IF(AND(N(Plan!$B$11)&gt;0,N(D160)&lt;=0),Plan!$D$11,0)+IF(AND(N(Plan!$B$12)&gt;0,N(E160)&lt;=0),Plan!$D$12,0)+IF(AND(N(Plan!$B$13)&gt;0,N(F160)&lt;=0),Plan!$D$13,0)+IF(AND(N(Plan!$B$14)&gt;0,N(G160)&lt;=0),Plan!$D$14,0)+IF(AND(N(Plan!$B$15)&gt;0,N(H160)&lt;=0),Plan!$D$15,0)+IF(AND(N(Plan!$B$16)&gt;0,N(I160)&lt;=0),Plan!$D$16,0)+IF(AND(N(Plan!$B$17)&gt;0,N(J160)&lt;=0),Plan!$D$17,0)+IF(AND(N(Plan!$B$18)&gt;0,N(K160)&lt;=0),Plan!$D$18,0),0)))</f>
        <v/>
      </c>
    </row>
    <row r="162">
      <c r="A162" s="17" t="n">
        <v>158</v>
      </c>
      <c r="B162" s="18">
        <f>IF(N(B161)&lt;=0,0,MAX(0,B161*(1+Plan!$C$9/12)-(Plan!$D$9+IF(Plan!$E$9=$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C162" s="18">
        <f>IF(N(C161)&lt;=0,0,MAX(0,C161*(1+Plan!$C$10/12)-(Plan!$D$10+IF(Plan!$E$10=$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D162" s="18">
        <f>IF(N(D161)&lt;=0,0,MAX(0,D161*(1+Plan!$C$11/12)-(Plan!$D$11+IF(Plan!$E$11=$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E162" s="18">
        <f>IF(N(E161)&lt;=0,0,MAX(0,E161*(1+Plan!$C$12/12)-(Plan!$D$12+IF(Plan!$E$12=$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F162" s="18">
        <f>IF(N(F161)&lt;=0,0,MAX(0,F161*(1+Plan!$C$13/12)-(Plan!$D$13+IF(Plan!$E$13=$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G162" s="18">
        <f>IF(N(G161)&lt;=0,0,MAX(0,G161*(1+Plan!$C$14/12)-(Plan!$D$14+IF(Plan!$E$14=$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H162" s="18">
        <f>IF(N(H161)&lt;=0,0,MAX(0,H161*(1+Plan!$C$15/12)-(Plan!$D$15+IF(Plan!$E$15=$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I162" s="18">
        <f>IF(N(I161)&lt;=0,0,MAX(0,I161*(1+Plan!$C$16/12)-(Plan!$D$16+IF(Plan!$E$16=$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J162" s="18">
        <f>IF(N(J161)&lt;=0,0,MAX(0,J161*(1+Plan!$C$17/12)-(Plan!$D$17+IF(Plan!$E$17=$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K162" s="18">
        <f>IF(N(K161)&lt;=0,0,MAX(0,K161*(1+Plan!$C$18/12)-(Plan!$D$18+IF(Plan!$E$18=$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c r="L162" s="19">
        <f>MIN(IF(N(B161)&gt;0,Plan!$E$9,999),IF(N(C161)&gt;0,Plan!$E$10,999),IF(N(D161)&gt;0,Plan!$E$11,999),IF(N(E161)&gt;0,Plan!$E$12,999),IF(N(F161)&gt;0,Plan!$E$13,999),IF(N(G161)&gt;0,Plan!$E$14,999),IF(N(H161)&gt;0,Plan!$E$15,999),IF(N(I161)&gt;0,Plan!$E$16,999),IF(N(J161)&gt;0,Plan!$E$17,999),IF(N(K161)&gt;0,Plan!$E$18,999))</f>
        <v/>
      </c>
      <c r="M162" s="18">
        <f>IF(N(B161)&lt;=0,0,MIN(B161*(1+Plan!$C$9/12),Plan!$D$9+IF(Plan!$E$9=$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IF(N(C161)&lt;=0,0,MIN(C161*(1+Plan!$C$10/12),Plan!$D$10+IF(Plan!$E$10=$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IF(N(D161)&lt;=0,0,MIN(D161*(1+Plan!$C$11/12),Plan!$D$11+IF(Plan!$E$11=$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IF(N(E161)&lt;=0,0,MIN(E161*(1+Plan!$C$12/12),Plan!$D$12+IF(Plan!$E$12=$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IF(N(F161)&lt;=0,0,MIN(F161*(1+Plan!$C$13/12),Plan!$D$13+IF(Plan!$E$13=$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IF(N(G161)&lt;=0,0,MIN(G161*(1+Plan!$C$14/12),Plan!$D$14+IF(Plan!$E$14=$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IF(N(H161)&lt;=0,0,MIN(H161*(1+Plan!$C$15/12),Plan!$D$15+IF(Plan!$E$15=$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IF(N(I161)&lt;=0,0,MIN(I161*(1+Plan!$C$16/12),Plan!$D$16+IF(Plan!$E$16=$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IF(N(J161)&lt;=0,0,MIN(J161*(1+Plan!$C$17/12),Plan!$D$17+IF(Plan!$E$17=$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IF(N(K161)&lt;=0,0,MIN(K161*(1+Plan!$C$18/12),Plan!$D$18+IF(Plan!$E$18=$L162,Plan!$B$5+IF(AND(N(Plan!$B$9)&gt;0,N(B161)&lt;=0),Plan!$D$9,0)+IF(AND(N(Plan!$B$10)&gt;0,N(C161)&lt;=0),Plan!$D$10,0)+IF(AND(N(Plan!$B$11)&gt;0,N(D161)&lt;=0),Plan!$D$11,0)+IF(AND(N(Plan!$B$12)&gt;0,N(E161)&lt;=0),Plan!$D$12,0)+IF(AND(N(Plan!$B$13)&gt;0,N(F161)&lt;=0),Plan!$D$13,0)+IF(AND(N(Plan!$B$14)&gt;0,N(G161)&lt;=0),Plan!$D$14,0)+IF(AND(N(Plan!$B$15)&gt;0,N(H161)&lt;=0),Plan!$D$15,0)+IF(AND(N(Plan!$B$16)&gt;0,N(I161)&lt;=0),Plan!$D$16,0)+IF(AND(N(Plan!$B$17)&gt;0,N(J161)&lt;=0),Plan!$D$17,0)+IF(AND(N(Plan!$B$18)&gt;0,N(K161)&lt;=0),Plan!$D$18,0),0)))</f>
        <v/>
      </c>
    </row>
    <row r="163">
      <c r="A163" s="17" t="n">
        <v>159</v>
      </c>
      <c r="B163" s="18">
        <f>IF(N(B162)&lt;=0,0,MAX(0,B162*(1+Plan!$C$9/12)-(Plan!$D$9+IF(Plan!$E$9=$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C163" s="18">
        <f>IF(N(C162)&lt;=0,0,MAX(0,C162*(1+Plan!$C$10/12)-(Plan!$D$10+IF(Plan!$E$10=$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D163" s="18">
        <f>IF(N(D162)&lt;=0,0,MAX(0,D162*(1+Plan!$C$11/12)-(Plan!$D$11+IF(Plan!$E$11=$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E163" s="18">
        <f>IF(N(E162)&lt;=0,0,MAX(0,E162*(1+Plan!$C$12/12)-(Plan!$D$12+IF(Plan!$E$12=$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F163" s="18">
        <f>IF(N(F162)&lt;=0,0,MAX(0,F162*(1+Plan!$C$13/12)-(Plan!$D$13+IF(Plan!$E$13=$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G163" s="18">
        <f>IF(N(G162)&lt;=0,0,MAX(0,G162*(1+Plan!$C$14/12)-(Plan!$D$14+IF(Plan!$E$14=$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H163" s="18">
        <f>IF(N(H162)&lt;=0,0,MAX(0,H162*(1+Plan!$C$15/12)-(Plan!$D$15+IF(Plan!$E$15=$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I163" s="18">
        <f>IF(N(I162)&lt;=0,0,MAX(0,I162*(1+Plan!$C$16/12)-(Plan!$D$16+IF(Plan!$E$16=$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J163" s="18">
        <f>IF(N(J162)&lt;=0,0,MAX(0,J162*(1+Plan!$C$17/12)-(Plan!$D$17+IF(Plan!$E$17=$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K163" s="18">
        <f>IF(N(K162)&lt;=0,0,MAX(0,K162*(1+Plan!$C$18/12)-(Plan!$D$18+IF(Plan!$E$18=$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c r="L163" s="19">
        <f>MIN(IF(N(B162)&gt;0,Plan!$E$9,999),IF(N(C162)&gt;0,Plan!$E$10,999),IF(N(D162)&gt;0,Plan!$E$11,999),IF(N(E162)&gt;0,Plan!$E$12,999),IF(N(F162)&gt;0,Plan!$E$13,999),IF(N(G162)&gt;0,Plan!$E$14,999),IF(N(H162)&gt;0,Plan!$E$15,999),IF(N(I162)&gt;0,Plan!$E$16,999),IF(N(J162)&gt;0,Plan!$E$17,999),IF(N(K162)&gt;0,Plan!$E$18,999))</f>
        <v/>
      </c>
      <c r="M163" s="18">
        <f>IF(N(B162)&lt;=0,0,MIN(B162*(1+Plan!$C$9/12),Plan!$D$9+IF(Plan!$E$9=$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IF(N(C162)&lt;=0,0,MIN(C162*(1+Plan!$C$10/12),Plan!$D$10+IF(Plan!$E$10=$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IF(N(D162)&lt;=0,0,MIN(D162*(1+Plan!$C$11/12),Plan!$D$11+IF(Plan!$E$11=$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IF(N(E162)&lt;=0,0,MIN(E162*(1+Plan!$C$12/12),Plan!$D$12+IF(Plan!$E$12=$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IF(N(F162)&lt;=0,0,MIN(F162*(1+Plan!$C$13/12),Plan!$D$13+IF(Plan!$E$13=$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IF(N(G162)&lt;=0,0,MIN(G162*(1+Plan!$C$14/12),Plan!$D$14+IF(Plan!$E$14=$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IF(N(H162)&lt;=0,0,MIN(H162*(1+Plan!$C$15/12),Plan!$D$15+IF(Plan!$E$15=$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IF(N(I162)&lt;=0,0,MIN(I162*(1+Plan!$C$16/12),Plan!$D$16+IF(Plan!$E$16=$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IF(N(J162)&lt;=0,0,MIN(J162*(1+Plan!$C$17/12),Plan!$D$17+IF(Plan!$E$17=$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IF(N(K162)&lt;=0,0,MIN(K162*(1+Plan!$C$18/12),Plan!$D$18+IF(Plan!$E$18=$L163,Plan!$B$5+IF(AND(N(Plan!$B$9)&gt;0,N(B162)&lt;=0),Plan!$D$9,0)+IF(AND(N(Plan!$B$10)&gt;0,N(C162)&lt;=0),Plan!$D$10,0)+IF(AND(N(Plan!$B$11)&gt;0,N(D162)&lt;=0),Plan!$D$11,0)+IF(AND(N(Plan!$B$12)&gt;0,N(E162)&lt;=0),Plan!$D$12,0)+IF(AND(N(Plan!$B$13)&gt;0,N(F162)&lt;=0),Plan!$D$13,0)+IF(AND(N(Plan!$B$14)&gt;0,N(G162)&lt;=0),Plan!$D$14,0)+IF(AND(N(Plan!$B$15)&gt;0,N(H162)&lt;=0),Plan!$D$15,0)+IF(AND(N(Plan!$B$16)&gt;0,N(I162)&lt;=0),Plan!$D$16,0)+IF(AND(N(Plan!$B$17)&gt;0,N(J162)&lt;=0),Plan!$D$17,0)+IF(AND(N(Plan!$B$18)&gt;0,N(K162)&lt;=0),Plan!$D$18,0),0)))</f>
        <v/>
      </c>
    </row>
    <row r="164">
      <c r="A164" s="17" t="n">
        <v>160</v>
      </c>
      <c r="B164" s="18">
        <f>IF(N(B163)&lt;=0,0,MAX(0,B163*(1+Plan!$C$9/12)-(Plan!$D$9+IF(Plan!$E$9=$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C164" s="18">
        <f>IF(N(C163)&lt;=0,0,MAX(0,C163*(1+Plan!$C$10/12)-(Plan!$D$10+IF(Plan!$E$10=$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D164" s="18">
        <f>IF(N(D163)&lt;=0,0,MAX(0,D163*(1+Plan!$C$11/12)-(Plan!$D$11+IF(Plan!$E$11=$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E164" s="18">
        <f>IF(N(E163)&lt;=0,0,MAX(0,E163*(1+Plan!$C$12/12)-(Plan!$D$12+IF(Plan!$E$12=$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F164" s="18">
        <f>IF(N(F163)&lt;=0,0,MAX(0,F163*(1+Plan!$C$13/12)-(Plan!$D$13+IF(Plan!$E$13=$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G164" s="18">
        <f>IF(N(G163)&lt;=0,0,MAX(0,G163*(1+Plan!$C$14/12)-(Plan!$D$14+IF(Plan!$E$14=$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H164" s="18">
        <f>IF(N(H163)&lt;=0,0,MAX(0,H163*(1+Plan!$C$15/12)-(Plan!$D$15+IF(Plan!$E$15=$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I164" s="18">
        <f>IF(N(I163)&lt;=0,0,MAX(0,I163*(1+Plan!$C$16/12)-(Plan!$D$16+IF(Plan!$E$16=$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J164" s="18">
        <f>IF(N(J163)&lt;=0,0,MAX(0,J163*(1+Plan!$C$17/12)-(Plan!$D$17+IF(Plan!$E$17=$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K164" s="18">
        <f>IF(N(K163)&lt;=0,0,MAX(0,K163*(1+Plan!$C$18/12)-(Plan!$D$18+IF(Plan!$E$18=$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c r="L164" s="19">
        <f>MIN(IF(N(B163)&gt;0,Plan!$E$9,999),IF(N(C163)&gt;0,Plan!$E$10,999),IF(N(D163)&gt;0,Plan!$E$11,999),IF(N(E163)&gt;0,Plan!$E$12,999),IF(N(F163)&gt;0,Plan!$E$13,999),IF(N(G163)&gt;0,Plan!$E$14,999),IF(N(H163)&gt;0,Plan!$E$15,999),IF(N(I163)&gt;0,Plan!$E$16,999),IF(N(J163)&gt;0,Plan!$E$17,999),IF(N(K163)&gt;0,Plan!$E$18,999))</f>
        <v/>
      </c>
      <c r="M164" s="18">
        <f>IF(N(B163)&lt;=0,0,MIN(B163*(1+Plan!$C$9/12),Plan!$D$9+IF(Plan!$E$9=$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IF(N(C163)&lt;=0,0,MIN(C163*(1+Plan!$C$10/12),Plan!$D$10+IF(Plan!$E$10=$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IF(N(D163)&lt;=0,0,MIN(D163*(1+Plan!$C$11/12),Plan!$D$11+IF(Plan!$E$11=$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IF(N(E163)&lt;=0,0,MIN(E163*(1+Plan!$C$12/12),Plan!$D$12+IF(Plan!$E$12=$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IF(N(F163)&lt;=0,0,MIN(F163*(1+Plan!$C$13/12),Plan!$D$13+IF(Plan!$E$13=$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IF(N(G163)&lt;=0,0,MIN(G163*(1+Plan!$C$14/12),Plan!$D$14+IF(Plan!$E$14=$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IF(N(H163)&lt;=0,0,MIN(H163*(1+Plan!$C$15/12),Plan!$D$15+IF(Plan!$E$15=$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IF(N(I163)&lt;=0,0,MIN(I163*(1+Plan!$C$16/12),Plan!$D$16+IF(Plan!$E$16=$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IF(N(J163)&lt;=0,0,MIN(J163*(1+Plan!$C$17/12),Plan!$D$17+IF(Plan!$E$17=$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IF(N(K163)&lt;=0,0,MIN(K163*(1+Plan!$C$18/12),Plan!$D$18+IF(Plan!$E$18=$L164,Plan!$B$5+IF(AND(N(Plan!$B$9)&gt;0,N(B163)&lt;=0),Plan!$D$9,0)+IF(AND(N(Plan!$B$10)&gt;0,N(C163)&lt;=0),Plan!$D$10,0)+IF(AND(N(Plan!$B$11)&gt;0,N(D163)&lt;=0),Plan!$D$11,0)+IF(AND(N(Plan!$B$12)&gt;0,N(E163)&lt;=0),Plan!$D$12,0)+IF(AND(N(Plan!$B$13)&gt;0,N(F163)&lt;=0),Plan!$D$13,0)+IF(AND(N(Plan!$B$14)&gt;0,N(G163)&lt;=0),Plan!$D$14,0)+IF(AND(N(Plan!$B$15)&gt;0,N(H163)&lt;=0),Plan!$D$15,0)+IF(AND(N(Plan!$B$16)&gt;0,N(I163)&lt;=0),Plan!$D$16,0)+IF(AND(N(Plan!$B$17)&gt;0,N(J163)&lt;=0),Plan!$D$17,0)+IF(AND(N(Plan!$B$18)&gt;0,N(K163)&lt;=0),Plan!$D$18,0),0)))</f>
        <v/>
      </c>
    </row>
    <row r="165">
      <c r="A165" s="17" t="n">
        <v>161</v>
      </c>
      <c r="B165" s="18">
        <f>IF(N(B164)&lt;=0,0,MAX(0,B164*(1+Plan!$C$9/12)-(Plan!$D$9+IF(Plan!$E$9=$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C165" s="18">
        <f>IF(N(C164)&lt;=0,0,MAX(0,C164*(1+Plan!$C$10/12)-(Plan!$D$10+IF(Plan!$E$10=$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D165" s="18">
        <f>IF(N(D164)&lt;=0,0,MAX(0,D164*(1+Plan!$C$11/12)-(Plan!$D$11+IF(Plan!$E$11=$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E165" s="18">
        <f>IF(N(E164)&lt;=0,0,MAX(0,E164*(1+Plan!$C$12/12)-(Plan!$D$12+IF(Plan!$E$12=$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F165" s="18">
        <f>IF(N(F164)&lt;=0,0,MAX(0,F164*(1+Plan!$C$13/12)-(Plan!$D$13+IF(Plan!$E$13=$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G165" s="18">
        <f>IF(N(G164)&lt;=0,0,MAX(0,G164*(1+Plan!$C$14/12)-(Plan!$D$14+IF(Plan!$E$14=$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H165" s="18">
        <f>IF(N(H164)&lt;=0,0,MAX(0,H164*(1+Plan!$C$15/12)-(Plan!$D$15+IF(Plan!$E$15=$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I165" s="18">
        <f>IF(N(I164)&lt;=0,0,MAX(0,I164*(1+Plan!$C$16/12)-(Plan!$D$16+IF(Plan!$E$16=$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J165" s="18">
        <f>IF(N(J164)&lt;=0,0,MAX(0,J164*(1+Plan!$C$17/12)-(Plan!$D$17+IF(Plan!$E$17=$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K165" s="18">
        <f>IF(N(K164)&lt;=0,0,MAX(0,K164*(1+Plan!$C$18/12)-(Plan!$D$18+IF(Plan!$E$18=$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c r="L165" s="19">
        <f>MIN(IF(N(B164)&gt;0,Plan!$E$9,999),IF(N(C164)&gt;0,Plan!$E$10,999),IF(N(D164)&gt;0,Plan!$E$11,999),IF(N(E164)&gt;0,Plan!$E$12,999),IF(N(F164)&gt;0,Plan!$E$13,999),IF(N(G164)&gt;0,Plan!$E$14,999),IF(N(H164)&gt;0,Plan!$E$15,999),IF(N(I164)&gt;0,Plan!$E$16,999),IF(N(J164)&gt;0,Plan!$E$17,999),IF(N(K164)&gt;0,Plan!$E$18,999))</f>
        <v/>
      </c>
      <c r="M165" s="18">
        <f>IF(N(B164)&lt;=0,0,MIN(B164*(1+Plan!$C$9/12),Plan!$D$9+IF(Plan!$E$9=$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IF(N(C164)&lt;=0,0,MIN(C164*(1+Plan!$C$10/12),Plan!$D$10+IF(Plan!$E$10=$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IF(N(D164)&lt;=0,0,MIN(D164*(1+Plan!$C$11/12),Plan!$D$11+IF(Plan!$E$11=$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IF(N(E164)&lt;=0,0,MIN(E164*(1+Plan!$C$12/12),Plan!$D$12+IF(Plan!$E$12=$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IF(N(F164)&lt;=0,0,MIN(F164*(1+Plan!$C$13/12),Plan!$D$13+IF(Plan!$E$13=$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IF(N(G164)&lt;=0,0,MIN(G164*(1+Plan!$C$14/12),Plan!$D$14+IF(Plan!$E$14=$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IF(N(H164)&lt;=0,0,MIN(H164*(1+Plan!$C$15/12),Plan!$D$15+IF(Plan!$E$15=$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IF(N(I164)&lt;=0,0,MIN(I164*(1+Plan!$C$16/12),Plan!$D$16+IF(Plan!$E$16=$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IF(N(J164)&lt;=0,0,MIN(J164*(1+Plan!$C$17/12),Plan!$D$17+IF(Plan!$E$17=$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IF(N(K164)&lt;=0,0,MIN(K164*(1+Plan!$C$18/12),Plan!$D$18+IF(Plan!$E$18=$L165,Plan!$B$5+IF(AND(N(Plan!$B$9)&gt;0,N(B164)&lt;=0),Plan!$D$9,0)+IF(AND(N(Plan!$B$10)&gt;0,N(C164)&lt;=0),Plan!$D$10,0)+IF(AND(N(Plan!$B$11)&gt;0,N(D164)&lt;=0),Plan!$D$11,0)+IF(AND(N(Plan!$B$12)&gt;0,N(E164)&lt;=0),Plan!$D$12,0)+IF(AND(N(Plan!$B$13)&gt;0,N(F164)&lt;=0),Plan!$D$13,0)+IF(AND(N(Plan!$B$14)&gt;0,N(G164)&lt;=0),Plan!$D$14,0)+IF(AND(N(Plan!$B$15)&gt;0,N(H164)&lt;=0),Plan!$D$15,0)+IF(AND(N(Plan!$B$16)&gt;0,N(I164)&lt;=0),Plan!$D$16,0)+IF(AND(N(Plan!$B$17)&gt;0,N(J164)&lt;=0),Plan!$D$17,0)+IF(AND(N(Plan!$B$18)&gt;0,N(K164)&lt;=0),Plan!$D$18,0),0)))</f>
        <v/>
      </c>
    </row>
    <row r="166">
      <c r="A166" s="17" t="n">
        <v>162</v>
      </c>
      <c r="B166" s="18">
        <f>IF(N(B165)&lt;=0,0,MAX(0,B165*(1+Plan!$C$9/12)-(Plan!$D$9+IF(Plan!$E$9=$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C166" s="18">
        <f>IF(N(C165)&lt;=0,0,MAX(0,C165*(1+Plan!$C$10/12)-(Plan!$D$10+IF(Plan!$E$10=$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D166" s="18">
        <f>IF(N(D165)&lt;=0,0,MAX(0,D165*(1+Plan!$C$11/12)-(Plan!$D$11+IF(Plan!$E$11=$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E166" s="18">
        <f>IF(N(E165)&lt;=0,0,MAX(0,E165*(1+Plan!$C$12/12)-(Plan!$D$12+IF(Plan!$E$12=$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F166" s="18">
        <f>IF(N(F165)&lt;=0,0,MAX(0,F165*(1+Plan!$C$13/12)-(Plan!$D$13+IF(Plan!$E$13=$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G166" s="18">
        <f>IF(N(G165)&lt;=0,0,MAX(0,G165*(1+Plan!$C$14/12)-(Plan!$D$14+IF(Plan!$E$14=$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H166" s="18">
        <f>IF(N(H165)&lt;=0,0,MAX(0,H165*(1+Plan!$C$15/12)-(Plan!$D$15+IF(Plan!$E$15=$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I166" s="18">
        <f>IF(N(I165)&lt;=0,0,MAX(0,I165*(1+Plan!$C$16/12)-(Plan!$D$16+IF(Plan!$E$16=$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J166" s="18">
        <f>IF(N(J165)&lt;=0,0,MAX(0,J165*(1+Plan!$C$17/12)-(Plan!$D$17+IF(Plan!$E$17=$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K166" s="18">
        <f>IF(N(K165)&lt;=0,0,MAX(0,K165*(1+Plan!$C$18/12)-(Plan!$D$18+IF(Plan!$E$18=$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c r="L166" s="19">
        <f>MIN(IF(N(B165)&gt;0,Plan!$E$9,999),IF(N(C165)&gt;0,Plan!$E$10,999),IF(N(D165)&gt;0,Plan!$E$11,999),IF(N(E165)&gt;0,Plan!$E$12,999),IF(N(F165)&gt;0,Plan!$E$13,999),IF(N(G165)&gt;0,Plan!$E$14,999),IF(N(H165)&gt;0,Plan!$E$15,999),IF(N(I165)&gt;0,Plan!$E$16,999),IF(N(J165)&gt;0,Plan!$E$17,999),IF(N(K165)&gt;0,Plan!$E$18,999))</f>
        <v/>
      </c>
      <c r="M166" s="18">
        <f>IF(N(B165)&lt;=0,0,MIN(B165*(1+Plan!$C$9/12),Plan!$D$9+IF(Plan!$E$9=$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IF(N(C165)&lt;=0,0,MIN(C165*(1+Plan!$C$10/12),Plan!$D$10+IF(Plan!$E$10=$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IF(N(D165)&lt;=0,0,MIN(D165*(1+Plan!$C$11/12),Plan!$D$11+IF(Plan!$E$11=$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IF(N(E165)&lt;=0,0,MIN(E165*(1+Plan!$C$12/12),Plan!$D$12+IF(Plan!$E$12=$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IF(N(F165)&lt;=0,0,MIN(F165*(1+Plan!$C$13/12),Plan!$D$13+IF(Plan!$E$13=$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IF(N(G165)&lt;=0,0,MIN(G165*(1+Plan!$C$14/12),Plan!$D$14+IF(Plan!$E$14=$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IF(N(H165)&lt;=0,0,MIN(H165*(1+Plan!$C$15/12),Plan!$D$15+IF(Plan!$E$15=$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IF(N(I165)&lt;=0,0,MIN(I165*(1+Plan!$C$16/12),Plan!$D$16+IF(Plan!$E$16=$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IF(N(J165)&lt;=0,0,MIN(J165*(1+Plan!$C$17/12),Plan!$D$17+IF(Plan!$E$17=$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IF(N(K165)&lt;=0,0,MIN(K165*(1+Plan!$C$18/12),Plan!$D$18+IF(Plan!$E$18=$L166,Plan!$B$5+IF(AND(N(Plan!$B$9)&gt;0,N(B165)&lt;=0),Plan!$D$9,0)+IF(AND(N(Plan!$B$10)&gt;0,N(C165)&lt;=0),Plan!$D$10,0)+IF(AND(N(Plan!$B$11)&gt;0,N(D165)&lt;=0),Plan!$D$11,0)+IF(AND(N(Plan!$B$12)&gt;0,N(E165)&lt;=0),Plan!$D$12,0)+IF(AND(N(Plan!$B$13)&gt;0,N(F165)&lt;=0),Plan!$D$13,0)+IF(AND(N(Plan!$B$14)&gt;0,N(G165)&lt;=0),Plan!$D$14,0)+IF(AND(N(Plan!$B$15)&gt;0,N(H165)&lt;=0),Plan!$D$15,0)+IF(AND(N(Plan!$B$16)&gt;0,N(I165)&lt;=0),Plan!$D$16,0)+IF(AND(N(Plan!$B$17)&gt;0,N(J165)&lt;=0),Plan!$D$17,0)+IF(AND(N(Plan!$B$18)&gt;0,N(K165)&lt;=0),Plan!$D$18,0),0)))</f>
        <v/>
      </c>
    </row>
    <row r="167">
      <c r="A167" s="17" t="n">
        <v>163</v>
      </c>
      <c r="B167" s="18">
        <f>IF(N(B166)&lt;=0,0,MAX(0,B166*(1+Plan!$C$9/12)-(Plan!$D$9+IF(Plan!$E$9=$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C167" s="18">
        <f>IF(N(C166)&lt;=0,0,MAX(0,C166*(1+Plan!$C$10/12)-(Plan!$D$10+IF(Plan!$E$10=$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D167" s="18">
        <f>IF(N(D166)&lt;=0,0,MAX(0,D166*(1+Plan!$C$11/12)-(Plan!$D$11+IF(Plan!$E$11=$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E167" s="18">
        <f>IF(N(E166)&lt;=0,0,MAX(0,E166*(1+Plan!$C$12/12)-(Plan!$D$12+IF(Plan!$E$12=$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F167" s="18">
        <f>IF(N(F166)&lt;=0,0,MAX(0,F166*(1+Plan!$C$13/12)-(Plan!$D$13+IF(Plan!$E$13=$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G167" s="18">
        <f>IF(N(G166)&lt;=0,0,MAX(0,G166*(1+Plan!$C$14/12)-(Plan!$D$14+IF(Plan!$E$14=$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H167" s="18">
        <f>IF(N(H166)&lt;=0,0,MAX(0,H166*(1+Plan!$C$15/12)-(Plan!$D$15+IF(Plan!$E$15=$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I167" s="18">
        <f>IF(N(I166)&lt;=0,0,MAX(0,I166*(1+Plan!$C$16/12)-(Plan!$D$16+IF(Plan!$E$16=$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J167" s="18">
        <f>IF(N(J166)&lt;=0,0,MAX(0,J166*(1+Plan!$C$17/12)-(Plan!$D$17+IF(Plan!$E$17=$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K167" s="18">
        <f>IF(N(K166)&lt;=0,0,MAX(0,K166*(1+Plan!$C$18/12)-(Plan!$D$18+IF(Plan!$E$18=$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c r="L167" s="19">
        <f>MIN(IF(N(B166)&gt;0,Plan!$E$9,999),IF(N(C166)&gt;0,Plan!$E$10,999),IF(N(D166)&gt;0,Plan!$E$11,999),IF(N(E166)&gt;0,Plan!$E$12,999),IF(N(F166)&gt;0,Plan!$E$13,999),IF(N(G166)&gt;0,Plan!$E$14,999),IF(N(H166)&gt;0,Plan!$E$15,999),IF(N(I166)&gt;0,Plan!$E$16,999),IF(N(J166)&gt;0,Plan!$E$17,999),IF(N(K166)&gt;0,Plan!$E$18,999))</f>
        <v/>
      </c>
      <c r="M167" s="18">
        <f>IF(N(B166)&lt;=0,0,MIN(B166*(1+Plan!$C$9/12),Plan!$D$9+IF(Plan!$E$9=$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IF(N(C166)&lt;=0,0,MIN(C166*(1+Plan!$C$10/12),Plan!$D$10+IF(Plan!$E$10=$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IF(N(D166)&lt;=0,0,MIN(D166*(1+Plan!$C$11/12),Plan!$D$11+IF(Plan!$E$11=$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IF(N(E166)&lt;=0,0,MIN(E166*(1+Plan!$C$12/12),Plan!$D$12+IF(Plan!$E$12=$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IF(N(F166)&lt;=0,0,MIN(F166*(1+Plan!$C$13/12),Plan!$D$13+IF(Plan!$E$13=$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IF(N(G166)&lt;=0,0,MIN(G166*(1+Plan!$C$14/12),Plan!$D$14+IF(Plan!$E$14=$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IF(N(H166)&lt;=0,0,MIN(H166*(1+Plan!$C$15/12),Plan!$D$15+IF(Plan!$E$15=$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IF(N(I166)&lt;=0,0,MIN(I166*(1+Plan!$C$16/12),Plan!$D$16+IF(Plan!$E$16=$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IF(N(J166)&lt;=0,0,MIN(J166*(1+Plan!$C$17/12),Plan!$D$17+IF(Plan!$E$17=$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IF(N(K166)&lt;=0,0,MIN(K166*(1+Plan!$C$18/12),Plan!$D$18+IF(Plan!$E$18=$L167,Plan!$B$5+IF(AND(N(Plan!$B$9)&gt;0,N(B166)&lt;=0),Plan!$D$9,0)+IF(AND(N(Plan!$B$10)&gt;0,N(C166)&lt;=0),Plan!$D$10,0)+IF(AND(N(Plan!$B$11)&gt;0,N(D166)&lt;=0),Plan!$D$11,0)+IF(AND(N(Plan!$B$12)&gt;0,N(E166)&lt;=0),Plan!$D$12,0)+IF(AND(N(Plan!$B$13)&gt;0,N(F166)&lt;=0),Plan!$D$13,0)+IF(AND(N(Plan!$B$14)&gt;0,N(G166)&lt;=0),Plan!$D$14,0)+IF(AND(N(Plan!$B$15)&gt;0,N(H166)&lt;=0),Plan!$D$15,0)+IF(AND(N(Plan!$B$16)&gt;0,N(I166)&lt;=0),Plan!$D$16,0)+IF(AND(N(Plan!$B$17)&gt;0,N(J166)&lt;=0),Plan!$D$17,0)+IF(AND(N(Plan!$B$18)&gt;0,N(K166)&lt;=0),Plan!$D$18,0),0)))</f>
        <v/>
      </c>
    </row>
    <row r="168">
      <c r="A168" s="17" t="n">
        <v>164</v>
      </c>
      <c r="B168" s="18">
        <f>IF(N(B167)&lt;=0,0,MAX(0,B167*(1+Plan!$C$9/12)-(Plan!$D$9+IF(Plan!$E$9=$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C168" s="18">
        <f>IF(N(C167)&lt;=0,0,MAX(0,C167*(1+Plan!$C$10/12)-(Plan!$D$10+IF(Plan!$E$10=$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D168" s="18">
        <f>IF(N(D167)&lt;=0,0,MAX(0,D167*(1+Plan!$C$11/12)-(Plan!$D$11+IF(Plan!$E$11=$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E168" s="18">
        <f>IF(N(E167)&lt;=0,0,MAX(0,E167*(1+Plan!$C$12/12)-(Plan!$D$12+IF(Plan!$E$12=$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F168" s="18">
        <f>IF(N(F167)&lt;=0,0,MAX(0,F167*(1+Plan!$C$13/12)-(Plan!$D$13+IF(Plan!$E$13=$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G168" s="18">
        <f>IF(N(G167)&lt;=0,0,MAX(0,G167*(1+Plan!$C$14/12)-(Plan!$D$14+IF(Plan!$E$14=$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H168" s="18">
        <f>IF(N(H167)&lt;=0,0,MAX(0,H167*(1+Plan!$C$15/12)-(Plan!$D$15+IF(Plan!$E$15=$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I168" s="18">
        <f>IF(N(I167)&lt;=0,0,MAX(0,I167*(1+Plan!$C$16/12)-(Plan!$D$16+IF(Plan!$E$16=$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J168" s="18">
        <f>IF(N(J167)&lt;=0,0,MAX(0,J167*(1+Plan!$C$17/12)-(Plan!$D$17+IF(Plan!$E$17=$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K168" s="18">
        <f>IF(N(K167)&lt;=0,0,MAX(0,K167*(1+Plan!$C$18/12)-(Plan!$D$18+IF(Plan!$E$18=$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c r="L168" s="19">
        <f>MIN(IF(N(B167)&gt;0,Plan!$E$9,999),IF(N(C167)&gt;0,Plan!$E$10,999),IF(N(D167)&gt;0,Plan!$E$11,999),IF(N(E167)&gt;0,Plan!$E$12,999),IF(N(F167)&gt;0,Plan!$E$13,999),IF(N(G167)&gt;0,Plan!$E$14,999),IF(N(H167)&gt;0,Plan!$E$15,999),IF(N(I167)&gt;0,Plan!$E$16,999),IF(N(J167)&gt;0,Plan!$E$17,999),IF(N(K167)&gt;0,Plan!$E$18,999))</f>
        <v/>
      </c>
      <c r="M168" s="18">
        <f>IF(N(B167)&lt;=0,0,MIN(B167*(1+Plan!$C$9/12),Plan!$D$9+IF(Plan!$E$9=$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IF(N(C167)&lt;=0,0,MIN(C167*(1+Plan!$C$10/12),Plan!$D$10+IF(Plan!$E$10=$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IF(N(D167)&lt;=0,0,MIN(D167*(1+Plan!$C$11/12),Plan!$D$11+IF(Plan!$E$11=$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IF(N(E167)&lt;=0,0,MIN(E167*(1+Plan!$C$12/12),Plan!$D$12+IF(Plan!$E$12=$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IF(N(F167)&lt;=0,0,MIN(F167*(1+Plan!$C$13/12),Plan!$D$13+IF(Plan!$E$13=$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IF(N(G167)&lt;=0,0,MIN(G167*(1+Plan!$C$14/12),Plan!$D$14+IF(Plan!$E$14=$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IF(N(H167)&lt;=0,0,MIN(H167*(1+Plan!$C$15/12),Plan!$D$15+IF(Plan!$E$15=$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IF(N(I167)&lt;=0,0,MIN(I167*(1+Plan!$C$16/12),Plan!$D$16+IF(Plan!$E$16=$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IF(N(J167)&lt;=0,0,MIN(J167*(1+Plan!$C$17/12),Plan!$D$17+IF(Plan!$E$17=$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IF(N(K167)&lt;=0,0,MIN(K167*(1+Plan!$C$18/12),Plan!$D$18+IF(Plan!$E$18=$L168,Plan!$B$5+IF(AND(N(Plan!$B$9)&gt;0,N(B167)&lt;=0),Plan!$D$9,0)+IF(AND(N(Plan!$B$10)&gt;0,N(C167)&lt;=0),Plan!$D$10,0)+IF(AND(N(Plan!$B$11)&gt;0,N(D167)&lt;=0),Plan!$D$11,0)+IF(AND(N(Plan!$B$12)&gt;0,N(E167)&lt;=0),Plan!$D$12,0)+IF(AND(N(Plan!$B$13)&gt;0,N(F167)&lt;=0),Plan!$D$13,0)+IF(AND(N(Plan!$B$14)&gt;0,N(G167)&lt;=0),Plan!$D$14,0)+IF(AND(N(Plan!$B$15)&gt;0,N(H167)&lt;=0),Plan!$D$15,0)+IF(AND(N(Plan!$B$16)&gt;0,N(I167)&lt;=0),Plan!$D$16,0)+IF(AND(N(Plan!$B$17)&gt;0,N(J167)&lt;=0),Plan!$D$17,0)+IF(AND(N(Plan!$B$18)&gt;0,N(K167)&lt;=0),Plan!$D$18,0),0)))</f>
        <v/>
      </c>
    </row>
    <row r="169">
      <c r="A169" s="17" t="n">
        <v>165</v>
      </c>
      <c r="B169" s="18">
        <f>IF(N(B168)&lt;=0,0,MAX(0,B168*(1+Plan!$C$9/12)-(Plan!$D$9+IF(Plan!$E$9=$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C169" s="18">
        <f>IF(N(C168)&lt;=0,0,MAX(0,C168*(1+Plan!$C$10/12)-(Plan!$D$10+IF(Plan!$E$10=$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D169" s="18">
        <f>IF(N(D168)&lt;=0,0,MAX(0,D168*(1+Plan!$C$11/12)-(Plan!$D$11+IF(Plan!$E$11=$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E169" s="18">
        <f>IF(N(E168)&lt;=0,0,MAX(0,E168*(1+Plan!$C$12/12)-(Plan!$D$12+IF(Plan!$E$12=$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F169" s="18">
        <f>IF(N(F168)&lt;=0,0,MAX(0,F168*(1+Plan!$C$13/12)-(Plan!$D$13+IF(Plan!$E$13=$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G169" s="18">
        <f>IF(N(G168)&lt;=0,0,MAX(0,G168*(1+Plan!$C$14/12)-(Plan!$D$14+IF(Plan!$E$14=$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H169" s="18">
        <f>IF(N(H168)&lt;=0,0,MAX(0,H168*(1+Plan!$C$15/12)-(Plan!$D$15+IF(Plan!$E$15=$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I169" s="18">
        <f>IF(N(I168)&lt;=0,0,MAX(0,I168*(1+Plan!$C$16/12)-(Plan!$D$16+IF(Plan!$E$16=$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J169" s="18">
        <f>IF(N(J168)&lt;=0,0,MAX(0,J168*(1+Plan!$C$17/12)-(Plan!$D$17+IF(Plan!$E$17=$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K169" s="18">
        <f>IF(N(K168)&lt;=0,0,MAX(0,K168*(1+Plan!$C$18/12)-(Plan!$D$18+IF(Plan!$E$18=$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c r="L169" s="19">
        <f>MIN(IF(N(B168)&gt;0,Plan!$E$9,999),IF(N(C168)&gt;0,Plan!$E$10,999),IF(N(D168)&gt;0,Plan!$E$11,999),IF(N(E168)&gt;0,Plan!$E$12,999),IF(N(F168)&gt;0,Plan!$E$13,999),IF(N(G168)&gt;0,Plan!$E$14,999),IF(N(H168)&gt;0,Plan!$E$15,999),IF(N(I168)&gt;0,Plan!$E$16,999),IF(N(J168)&gt;0,Plan!$E$17,999),IF(N(K168)&gt;0,Plan!$E$18,999))</f>
        <v/>
      </c>
      <c r="M169" s="18">
        <f>IF(N(B168)&lt;=0,0,MIN(B168*(1+Plan!$C$9/12),Plan!$D$9+IF(Plan!$E$9=$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IF(N(C168)&lt;=0,0,MIN(C168*(1+Plan!$C$10/12),Plan!$D$10+IF(Plan!$E$10=$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IF(N(D168)&lt;=0,0,MIN(D168*(1+Plan!$C$11/12),Plan!$D$11+IF(Plan!$E$11=$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IF(N(E168)&lt;=0,0,MIN(E168*(1+Plan!$C$12/12),Plan!$D$12+IF(Plan!$E$12=$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IF(N(F168)&lt;=0,0,MIN(F168*(1+Plan!$C$13/12),Plan!$D$13+IF(Plan!$E$13=$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IF(N(G168)&lt;=0,0,MIN(G168*(1+Plan!$C$14/12),Plan!$D$14+IF(Plan!$E$14=$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IF(N(H168)&lt;=0,0,MIN(H168*(1+Plan!$C$15/12),Plan!$D$15+IF(Plan!$E$15=$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IF(N(I168)&lt;=0,0,MIN(I168*(1+Plan!$C$16/12),Plan!$D$16+IF(Plan!$E$16=$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IF(N(J168)&lt;=0,0,MIN(J168*(1+Plan!$C$17/12),Plan!$D$17+IF(Plan!$E$17=$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IF(N(K168)&lt;=0,0,MIN(K168*(1+Plan!$C$18/12),Plan!$D$18+IF(Plan!$E$18=$L169,Plan!$B$5+IF(AND(N(Plan!$B$9)&gt;0,N(B168)&lt;=0),Plan!$D$9,0)+IF(AND(N(Plan!$B$10)&gt;0,N(C168)&lt;=0),Plan!$D$10,0)+IF(AND(N(Plan!$B$11)&gt;0,N(D168)&lt;=0),Plan!$D$11,0)+IF(AND(N(Plan!$B$12)&gt;0,N(E168)&lt;=0),Plan!$D$12,0)+IF(AND(N(Plan!$B$13)&gt;0,N(F168)&lt;=0),Plan!$D$13,0)+IF(AND(N(Plan!$B$14)&gt;0,N(G168)&lt;=0),Plan!$D$14,0)+IF(AND(N(Plan!$B$15)&gt;0,N(H168)&lt;=0),Plan!$D$15,0)+IF(AND(N(Plan!$B$16)&gt;0,N(I168)&lt;=0),Plan!$D$16,0)+IF(AND(N(Plan!$B$17)&gt;0,N(J168)&lt;=0),Plan!$D$17,0)+IF(AND(N(Plan!$B$18)&gt;0,N(K168)&lt;=0),Plan!$D$18,0),0)))</f>
        <v/>
      </c>
    </row>
    <row r="170">
      <c r="A170" s="17" t="n">
        <v>166</v>
      </c>
      <c r="B170" s="18">
        <f>IF(N(B169)&lt;=0,0,MAX(0,B169*(1+Plan!$C$9/12)-(Plan!$D$9+IF(Plan!$E$9=$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C170" s="18">
        <f>IF(N(C169)&lt;=0,0,MAX(0,C169*(1+Plan!$C$10/12)-(Plan!$D$10+IF(Plan!$E$10=$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D170" s="18">
        <f>IF(N(D169)&lt;=0,0,MAX(0,D169*(1+Plan!$C$11/12)-(Plan!$D$11+IF(Plan!$E$11=$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E170" s="18">
        <f>IF(N(E169)&lt;=0,0,MAX(0,E169*(1+Plan!$C$12/12)-(Plan!$D$12+IF(Plan!$E$12=$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F170" s="18">
        <f>IF(N(F169)&lt;=0,0,MAX(0,F169*(1+Plan!$C$13/12)-(Plan!$D$13+IF(Plan!$E$13=$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G170" s="18">
        <f>IF(N(G169)&lt;=0,0,MAX(0,G169*(1+Plan!$C$14/12)-(Plan!$D$14+IF(Plan!$E$14=$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H170" s="18">
        <f>IF(N(H169)&lt;=0,0,MAX(0,H169*(1+Plan!$C$15/12)-(Plan!$D$15+IF(Plan!$E$15=$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I170" s="18">
        <f>IF(N(I169)&lt;=0,0,MAX(0,I169*(1+Plan!$C$16/12)-(Plan!$D$16+IF(Plan!$E$16=$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J170" s="18">
        <f>IF(N(J169)&lt;=0,0,MAX(0,J169*(1+Plan!$C$17/12)-(Plan!$D$17+IF(Plan!$E$17=$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K170" s="18">
        <f>IF(N(K169)&lt;=0,0,MAX(0,K169*(1+Plan!$C$18/12)-(Plan!$D$18+IF(Plan!$E$18=$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c r="L170" s="19">
        <f>MIN(IF(N(B169)&gt;0,Plan!$E$9,999),IF(N(C169)&gt;0,Plan!$E$10,999),IF(N(D169)&gt;0,Plan!$E$11,999),IF(N(E169)&gt;0,Plan!$E$12,999),IF(N(F169)&gt;0,Plan!$E$13,999),IF(N(G169)&gt;0,Plan!$E$14,999),IF(N(H169)&gt;0,Plan!$E$15,999),IF(N(I169)&gt;0,Plan!$E$16,999),IF(N(J169)&gt;0,Plan!$E$17,999),IF(N(K169)&gt;0,Plan!$E$18,999))</f>
        <v/>
      </c>
      <c r="M170" s="18">
        <f>IF(N(B169)&lt;=0,0,MIN(B169*(1+Plan!$C$9/12),Plan!$D$9+IF(Plan!$E$9=$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IF(N(C169)&lt;=0,0,MIN(C169*(1+Plan!$C$10/12),Plan!$D$10+IF(Plan!$E$10=$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IF(N(D169)&lt;=0,0,MIN(D169*(1+Plan!$C$11/12),Plan!$D$11+IF(Plan!$E$11=$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IF(N(E169)&lt;=0,0,MIN(E169*(1+Plan!$C$12/12),Plan!$D$12+IF(Plan!$E$12=$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IF(N(F169)&lt;=0,0,MIN(F169*(1+Plan!$C$13/12),Plan!$D$13+IF(Plan!$E$13=$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IF(N(G169)&lt;=0,0,MIN(G169*(1+Plan!$C$14/12),Plan!$D$14+IF(Plan!$E$14=$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IF(N(H169)&lt;=0,0,MIN(H169*(1+Plan!$C$15/12),Plan!$D$15+IF(Plan!$E$15=$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IF(N(I169)&lt;=0,0,MIN(I169*(1+Plan!$C$16/12),Plan!$D$16+IF(Plan!$E$16=$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IF(N(J169)&lt;=0,0,MIN(J169*(1+Plan!$C$17/12),Plan!$D$17+IF(Plan!$E$17=$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IF(N(K169)&lt;=0,0,MIN(K169*(1+Plan!$C$18/12),Plan!$D$18+IF(Plan!$E$18=$L170,Plan!$B$5+IF(AND(N(Plan!$B$9)&gt;0,N(B169)&lt;=0),Plan!$D$9,0)+IF(AND(N(Plan!$B$10)&gt;0,N(C169)&lt;=0),Plan!$D$10,0)+IF(AND(N(Plan!$B$11)&gt;0,N(D169)&lt;=0),Plan!$D$11,0)+IF(AND(N(Plan!$B$12)&gt;0,N(E169)&lt;=0),Plan!$D$12,0)+IF(AND(N(Plan!$B$13)&gt;0,N(F169)&lt;=0),Plan!$D$13,0)+IF(AND(N(Plan!$B$14)&gt;0,N(G169)&lt;=0),Plan!$D$14,0)+IF(AND(N(Plan!$B$15)&gt;0,N(H169)&lt;=0),Plan!$D$15,0)+IF(AND(N(Plan!$B$16)&gt;0,N(I169)&lt;=0),Plan!$D$16,0)+IF(AND(N(Plan!$B$17)&gt;0,N(J169)&lt;=0),Plan!$D$17,0)+IF(AND(N(Plan!$B$18)&gt;0,N(K169)&lt;=0),Plan!$D$18,0),0)))</f>
        <v/>
      </c>
    </row>
    <row r="171">
      <c r="A171" s="17" t="n">
        <v>167</v>
      </c>
      <c r="B171" s="18">
        <f>IF(N(B170)&lt;=0,0,MAX(0,B170*(1+Plan!$C$9/12)-(Plan!$D$9+IF(Plan!$E$9=$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C171" s="18">
        <f>IF(N(C170)&lt;=0,0,MAX(0,C170*(1+Plan!$C$10/12)-(Plan!$D$10+IF(Plan!$E$10=$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D171" s="18">
        <f>IF(N(D170)&lt;=0,0,MAX(0,D170*(1+Plan!$C$11/12)-(Plan!$D$11+IF(Plan!$E$11=$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E171" s="18">
        <f>IF(N(E170)&lt;=0,0,MAX(0,E170*(1+Plan!$C$12/12)-(Plan!$D$12+IF(Plan!$E$12=$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F171" s="18">
        <f>IF(N(F170)&lt;=0,0,MAX(0,F170*(1+Plan!$C$13/12)-(Plan!$D$13+IF(Plan!$E$13=$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G171" s="18">
        <f>IF(N(G170)&lt;=0,0,MAX(0,G170*(1+Plan!$C$14/12)-(Plan!$D$14+IF(Plan!$E$14=$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H171" s="18">
        <f>IF(N(H170)&lt;=0,0,MAX(0,H170*(1+Plan!$C$15/12)-(Plan!$D$15+IF(Plan!$E$15=$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I171" s="18">
        <f>IF(N(I170)&lt;=0,0,MAX(0,I170*(1+Plan!$C$16/12)-(Plan!$D$16+IF(Plan!$E$16=$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J171" s="18">
        <f>IF(N(J170)&lt;=0,0,MAX(0,J170*(1+Plan!$C$17/12)-(Plan!$D$17+IF(Plan!$E$17=$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K171" s="18">
        <f>IF(N(K170)&lt;=0,0,MAX(0,K170*(1+Plan!$C$18/12)-(Plan!$D$18+IF(Plan!$E$18=$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c r="L171" s="19">
        <f>MIN(IF(N(B170)&gt;0,Plan!$E$9,999),IF(N(C170)&gt;0,Plan!$E$10,999),IF(N(D170)&gt;0,Plan!$E$11,999),IF(N(E170)&gt;0,Plan!$E$12,999),IF(N(F170)&gt;0,Plan!$E$13,999),IF(N(G170)&gt;0,Plan!$E$14,999),IF(N(H170)&gt;0,Plan!$E$15,999),IF(N(I170)&gt;0,Plan!$E$16,999),IF(N(J170)&gt;0,Plan!$E$17,999),IF(N(K170)&gt;0,Plan!$E$18,999))</f>
        <v/>
      </c>
      <c r="M171" s="18">
        <f>IF(N(B170)&lt;=0,0,MIN(B170*(1+Plan!$C$9/12),Plan!$D$9+IF(Plan!$E$9=$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IF(N(C170)&lt;=0,0,MIN(C170*(1+Plan!$C$10/12),Plan!$D$10+IF(Plan!$E$10=$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IF(N(D170)&lt;=0,0,MIN(D170*(1+Plan!$C$11/12),Plan!$D$11+IF(Plan!$E$11=$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IF(N(E170)&lt;=0,0,MIN(E170*(1+Plan!$C$12/12),Plan!$D$12+IF(Plan!$E$12=$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IF(N(F170)&lt;=0,0,MIN(F170*(1+Plan!$C$13/12),Plan!$D$13+IF(Plan!$E$13=$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IF(N(G170)&lt;=0,0,MIN(G170*(1+Plan!$C$14/12),Plan!$D$14+IF(Plan!$E$14=$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IF(N(H170)&lt;=0,0,MIN(H170*(1+Plan!$C$15/12),Plan!$D$15+IF(Plan!$E$15=$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IF(N(I170)&lt;=0,0,MIN(I170*(1+Plan!$C$16/12),Plan!$D$16+IF(Plan!$E$16=$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IF(N(J170)&lt;=0,0,MIN(J170*(1+Plan!$C$17/12),Plan!$D$17+IF(Plan!$E$17=$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IF(N(K170)&lt;=0,0,MIN(K170*(1+Plan!$C$18/12),Plan!$D$18+IF(Plan!$E$18=$L171,Plan!$B$5+IF(AND(N(Plan!$B$9)&gt;0,N(B170)&lt;=0),Plan!$D$9,0)+IF(AND(N(Plan!$B$10)&gt;0,N(C170)&lt;=0),Plan!$D$10,0)+IF(AND(N(Plan!$B$11)&gt;0,N(D170)&lt;=0),Plan!$D$11,0)+IF(AND(N(Plan!$B$12)&gt;0,N(E170)&lt;=0),Plan!$D$12,0)+IF(AND(N(Plan!$B$13)&gt;0,N(F170)&lt;=0),Plan!$D$13,0)+IF(AND(N(Plan!$B$14)&gt;0,N(G170)&lt;=0),Plan!$D$14,0)+IF(AND(N(Plan!$B$15)&gt;0,N(H170)&lt;=0),Plan!$D$15,0)+IF(AND(N(Plan!$B$16)&gt;0,N(I170)&lt;=0),Plan!$D$16,0)+IF(AND(N(Plan!$B$17)&gt;0,N(J170)&lt;=0),Plan!$D$17,0)+IF(AND(N(Plan!$B$18)&gt;0,N(K170)&lt;=0),Plan!$D$18,0),0)))</f>
        <v/>
      </c>
    </row>
    <row r="172">
      <c r="A172" s="17" t="n">
        <v>168</v>
      </c>
      <c r="B172" s="18">
        <f>IF(N(B171)&lt;=0,0,MAX(0,B171*(1+Plan!$C$9/12)-(Plan!$D$9+IF(Plan!$E$9=$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C172" s="18">
        <f>IF(N(C171)&lt;=0,0,MAX(0,C171*(1+Plan!$C$10/12)-(Plan!$D$10+IF(Plan!$E$10=$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D172" s="18">
        <f>IF(N(D171)&lt;=0,0,MAX(0,D171*(1+Plan!$C$11/12)-(Plan!$D$11+IF(Plan!$E$11=$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E172" s="18">
        <f>IF(N(E171)&lt;=0,0,MAX(0,E171*(1+Plan!$C$12/12)-(Plan!$D$12+IF(Plan!$E$12=$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F172" s="18">
        <f>IF(N(F171)&lt;=0,0,MAX(0,F171*(1+Plan!$C$13/12)-(Plan!$D$13+IF(Plan!$E$13=$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G172" s="18">
        <f>IF(N(G171)&lt;=0,0,MAX(0,G171*(1+Plan!$C$14/12)-(Plan!$D$14+IF(Plan!$E$14=$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H172" s="18">
        <f>IF(N(H171)&lt;=0,0,MAX(0,H171*(1+Plan!$C$15/12)-(Plan!$D$15+IF(Plan!$E$15=$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I172" s="18">
        <f>IF(N(I171)&lt;=0,0,MAX(0,I171*(1+Plan!$C$16/12)-(Plan!$D$16+IF(Plan!$E$16=$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J172" s="18">
        <f>IF(N(J171)&lt;=0,0,MAX(0,J171*(1+Plan!$C$17/12)-(Plan!$D$17+IF(Plan!$E$17=$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K172" s="18">
        <f>IF(N(K171)&lt;=0,0,MAX(0,K171*(1+Plan!$C$18/12)-(Plan!$D$18+IF(Plan!$E$18=$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c r="L172" s="19">
        <f>MIN(IF(N(B171)&gt;0,Plan!$E$9,999),IF(N(C171)&gt;0,Plan!$E$10,999),IF(N(D171)&gt;0,Plan!$E$11,999),IF(N(E171)&gt;0,Plan!$E$12,999),IF(N(F171)&gt;0,Plan!$E$13,999),IF(N(G171)&gt;0,Plan!$E$14,999),IF(N(H171)&gt;0,Plan!$E$15,999),IF(N(I171)&gt;0,Plan!$E$16,999),IF(N(J171)&gt;0,Plan!$E$17,999),IF(N(K171)&gt;0,Plan!$E$18,999))</f>
        <v/>
      </c>
      <c r="M172" s="18">
        <f>IF(N(B171)&lt;=0,0,MIN(B171*(1+Plan!$C$9/12),Plan!$D$9+IF(Plan!$E$9=$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IF(N(C171)&lt;=0,0,MIN(C171*(1+Plan!$C$10/12),Plan!$D$10+IF(Plan!$E$10=$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IF(N(D171)&lt;=0,0,MIN(D171*(1+Plan!$C$11/12),Plan!$D$11+IF(Plan!$E$11=$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IF(N(E171)&lt;=0,0,MIN(E171*(1+Plan!$C$12/12),Plan!$D$12+IF(Plan!$E$12=$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IF(N(F171)&lt;=0,0,MIN(F171*(1+Plan!$C$13/12),Plan!$D$13+IF(Plan!$E$13=$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IF(N(G171)&lt;=0,0,MIN(G171*(1+Plan!$C$14/12),Plan!$D$14+IF(Plan!$E$14=$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IF(N(H171)&lt;=0,0,MIN(H171*(1+Plan!$C$15/12),Plan!$D$15+IF(Plan!$E$15=$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IF(N(I171)&lt;=0,0,MIN(I171*(1+Plan!$C$16/12),Plan!$D$16+IF(Plan!$E$16=$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IF(N(J171)&lt;=0,0,MIN(J171*(1+Plan!$C$17/12),Plan!$D$17+IF(Plan!$E$17=$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IF(N(K171)&lt;=0,0,MIN(K171*(1+Plan!$C$18/12),Plan!$D$18+IF(Plan!$E$18=$L172,Plan!$B$5+IF(AND(N(Plan!$B$9)&gt;0,N(B171)&lt;=0),Plan!$D$9,0)+IF(AND(N(Plan!$B$10)&gt;0,N(C171)&lt;=0),Plan!$D$10,0)+IF(AND(N(Plan!$B$11)&gt;0,N(D171)&lt;=0),Plan!$D$11,0)+IF(AND(N(Plan!$B$12)&gt;0,N(E171)&lt;=0),Plan!$D$12,0)+IF(AND(N(Plan!$B$13)&gt;0,N(F171)&lt;=0),Plan!$D$13,0)+IF(AND(N(Plan!$B$14)&gt;0,N(G171)&lt;=0),Plan!$D$14,0)+IF(AND(N(Plan!$B$15)&gt;0,N(H171)&lt;=0),Plan!$D$15,0)+IF(AND(N(Plan!$B$16)&gt;0,N(I171)&lt;=0),Plan!$D$16,0)+IF(AND(N(Plan!$B$17)&gt;0,N(J171)&lt;=0),Plan!$D$17,0)+IF(AND(N(Plan!$B$18)&gt;0,N(K171)&lt;=0),Plan!$D$18,0),0)))</f>
        <v/>
      </c>
    </row>
    <row r="173">
      <c r="A173" s="17" t="n">
        <v>169</v>
      </c>
      <c r="B173" s="18">
        <f>IF(N(B172)&lt;=0,0,MAX(0,B172*(1+Plan!$C$9/12)-(Plan!$D$9+IF(Plan!$E$9=$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C173" s="18">
        <f>IF(N(C172)&lt;=0,0,MAX(0,C172*(1+Plan!$C$10/12)-(Plan!$D$10+IF(Plan!$E$10=$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D173" s="18">
        <f>IF(N(D172)&lt;=0,0,MAX(0,D172*(1+Plan!$C$11/12)-(Plan!$D$11+IF(Plan!$E$11=$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E173" s="18">
        <f>IF(N(E172)&lt;=0,0,MAX(0,E172*(1+Plan!$C$12/12)-(Plan!$D$12+IF(Plan!$E$12=$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F173" s="18">
        <f>IF(N(F172)&lt;=0,0,MAX(0,F172*(1+Plan!$C$13/12)-(Plan!$D$13+IF(Plan!$E$13=$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G173" s="18">
        <f>IF(N(G172)&lt;=0,0,MAX(0,G172*(1+Plan!$C$14/12)-(Plan!$D$14+IF(Plan!$E$14=$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H173" s="18">
        <f>IF(N(H172)&lt;=0,0,MAX(0,H172*(1+Plan!$C$15/12)-(Plan!$D$15+IF(Plan!$E$15=$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I173" s="18">
        <f>IF(N(I172)&lt;=0,0,MAX(0,I172*(1+Plan!$C$16/12)-(Plan!$D$16+IF(Plan!$E$16=$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J173" s="18">
        <f>IF(N(J172)&lt;=0,0,MAX(0,J172*(1+Plan!$C$17/12)-(Plan!$D$17+IF(Plan!$E$17=$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K173" s="18">
        <f>IF(N(K172)&lt;=0,0,MAX(0,K172*(1+Plan!$C$18/12)-(Plan!$D$18+IF(Plan!$E$18=$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c r="L173" s="19">
        <f>MIN(IF(N(B172)&gt;0,Plan!$E$9,999),IF(N(C172)&gt;0,Plan!$E$10,999),IF(N(D172)&gt;0,Plan!$E$11,999),IF(N(E172)&gt;0,Plan!$E$12,999),IF(N(F172)&gt;0,Plan!$E$13,999),IF(N(G172)&gt;0,Plan!$E$14,999),IF(N(H172)&gt;0,Plan!$E$15,999),IF(N(I172)&gt;0,Plan!$E$16,999),IF(N(J172)&gt;0,Plan!$E$17,999),IF(N(K172)&gt;0,Plan!$E$18,999))</f>
        <v/>
      </c>
      <c r="M173" s="18">
        <f>IF(N(B172)&lt;=0,0,MIN(B172*(1+Plan!$C$9/12),Plan!$D$9+IF(Plan!$E$9=$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IF(N(C172)&lt;=0,0,MIN(C172*(1+Plan!$C$10/12),Plan!$D$10+IF(Plan!$E$10=$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IF(N(D172)&lt;=0,0,MIN(D172*(1+Plan!$C$11/12),Plan!$D$11+IF(Plan!$E$11=$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IF(N(E172)&lt;=0,0,MIN(E172*(1+Plan!$C$12/12),Plan!$D$12+IF(Plan!$E$12=$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IF(N(F172)&lt;=0,0,MIN(F172*(1+Plan!$C$13/12),Plan!$D$13+IF(Plan!$E$13=$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IF(N(G172)&lt;=0,0,MIN(G172*(1+Plan!$C$14/12),Plan!$D$14+IF(Plan!$E$14=$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IF(N(H172)&lt;=0,0,MIN(H172*(1+Plan!$C$15/12),Plan!$D$15+IF(Plan!$E$15=$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IF(N(I172)&lt;=0,0,MIN(I172*(1+Plan!$C$16/12),Plan!$D$16+IF(Plan!$E$16=$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IF(N(J172)&lt;=0,0,MIN(J172*(1+Plan!$C$17/12),Plan!$D$17+IF(Plan!$E$17=$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IF(N(K172)&lt;=0,0,MIN(K172*(1+Plan!$C$18/12),Plan!$D$18+IF(Plan!$E$18=$L173,Plan!$B$5+IF(AND(N(Plan!$B$9)&gt;0,N(B172)&lt;=0),Plan!$D$9,0)+IF(AND(N(Plan!$B$10)&gt;0,N(C172)&lt;=0),Plan!$D$10,0)+IF(AND(N(Plan!$B$11)&gt;0,N(D172)&lt;=0),Plan!$D$11,0)+IF(AND(N(Plan!$B$12)&gt;0,N(E172)&lt;=0),Plan!$D$12,0)+IF(AND(N(Plan!$B$13)&gt;0,N(F172)&lt;=0),Plan!$D$13,0)+IF(AND(N(Plan!$B$14)&gt;0,N(G172)&lt;=0),Plan!$D$14,0)+IF(AND(N(Plan!$B$15)&gt;0,N(H172)&lt;=0),Plan!$D$15,0)+IF(AND(N(Plan!$B$16)&gt;0,N(I172)&lt;=0),Plan!$D$16,0)+IF(AND(N(Plan!$B$17)&gt;0,N(J172)&lt;=0),Plan!$D$17,0)+IF(AND(N(Plan!$B$18)&gt;0,N(K172)&lt;=0),Plan!$D$18,0),0)))</f>
        <v/>
      </c>
    </row>
    <row r="174">
      <c r="A174" s="17" t="n">
        <v>170</v>
      </c>
      <c r="B174" s="18">
        <f>IF(N(B173)&lt;=0,0,MAX(0,B173*(1+Plan!$C$9/12)-(Plan!$D$9+IF(Plan!$E$9=$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C174" s="18">
        <f>IF(N(C173)&lt;=0,0,MAX(0,C173*(1+Plan!$C$10/12)-(Plan!$D$10+IF(Plan!$E$10=$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D174" s="18">
        <f>IF(N(D173)&lt;=0,0,MAX(0,D173*(1+Plan!$C$11/12)-(Plan!$D$11+IF(Plan!$E$11=$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E174" s="18">
        <f>IF(N(E173)&lt;=0,0,MAX(0,E173*(1+Plan!$C$12/12)-(Plan!$D$12+IF(Plan!$E$12=$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F174" s="18">
        <f>IF(N(F173)&lt;=0,0,MAX(0,F173*(1+Plan!$C$13/12)-(Plan!$D$13+IF(Plan!$E$13=$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G174" s="18">
        <f>IF(N(G173)&lt;=0,0,MAX(0,G173*(1+Plan!$C$14/12)-(Plan!$D$14+IF(Plan!$E$14=$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H174" s="18">
        <f>IF(N(H173)&lt;=0,0,MAX(0,H173*(1+Plan!$C$15/12)-(Plan!$D$15+IF(Plan!$E$15=$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I174" s="18">
        <f>IF(N(I173)&lt;=0,0,MAX(0,I173*(1+Plan!$C$16/12)-(Plan!$D$16+IF(Plan!$E$16=$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J174" s="18">
        <f>IF(N(J173)&lt;=0,0,MAX(0,J173*(1+Plan!$C$17/12)-(Plan!$D$17+IF(Plan!$E$17=$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K174" s="18">
        <f>IF(N(K173)&lt;=0,0,MAX(0,K173*(1+Plan!$C$18/12)-(Plan!$D$18+IF(Plan!$E$18=$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c r="L174" s="19">
        <f>MIN(IF(N(B173)&gt;0,Plan!$E$9,999),IF(N(C173)&gt;0,Plan!$E$10,999),IF(N(D173)&gt;0,Plan!$E$11,999),IF(N(E173)&gt;0,Plan!$E$12,999),IF(N(F173)&gt;0,Plan!$E$13,999),IF(N(G173)&gt;0,Plan!$E$14,999),IF(N(H173)&gt;0,Plan!$E$15,999),IF(N(I173)&gt;0,Plan!$E$16,999),IF(N(J173)&gt;0,Plan!$E$17,999),IF(N(K173)&gt;0,Plan!$E$18,999))</f>
        <v/>
      </c>
      <c r="M174" s="18">
        <f>IF(N(B173)&lt;=0,0,MIN(B173*(1+Plan!$C$9/12),Plan!$D$9+IF(Plan!$E$9=$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IF(N(C173)&lt;=0,0,MIN(C173*(1+Plan!$C$10/12),Plan!$D$10+IF(Plan!$E$10=$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IF(N(D173)&lt;=0,0,MIN(D173*(1+Plan!$C$11/12),Plan!$D$11+IF(Plan!$E$11=$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IF(N(E173)&lt;=0,0,MIN(E173*(1+Plan!$C$12/12),Plan!$D$12+IF(Plan!$E$12=$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IF(N(F173)&lt;=0,0,MIN(F173*(1+Plan!$C$13/12),Plan!$D$13+IF(Plan!$E$13=$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IF(N(G173)&lt;=0,0,MIN(G173*(1+Plan!$C$14/12),Plan!$D$14+IF(Plan!$E$14=$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IF(N(H173)&lt;=0,0,MIN(H173*(1+Plan!$C$15/12),Plan!$D$15+IF(Plan!$E$15=$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IF(N(I173)&lt;=0,0,MIN(I173*(1+Plan!$C$16/12),Plan!$D$16+IF(Plan!$E$16=$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IF(N(J173)&lt;=0,0,MIN(J173*(1+Plan!$C$17/12),Plan!$D$17+IF(Plan!$E$17=$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IF(N(K173)&lt;=0,0,MIN(K173*(1+Plan!$C$18/12),Plan!$D$18+IF(Plan!$E$18=$L174,Plan!$B$5+IF(AND(N(Plan!$B$9)&gt;0,N(B173)&lt;=0),Plan!$D$9,0)+IF(AND(N(Plan!$B$10)&gt;0,N(C173)&lt;=0),Plan!$D$10,0)+IF(AND(N(Plan!$B$11)&gt;0,N(D173)&lt;=0),Plan!$D$11,0)+IF(AND(N(Plan!$B$12)&gt;0,N(E173)&lt;=0),Plan!$D$12,0)+IF(AND(N(Plan!$B$13)&gt;0,N(F173)&lt;=0),Plan!$D$13,0)+IF(AND(N(Plan!$B$14)&gt;0,N(G173)&lt;=0),Plan!$D$14,0)+IF(AND(N(Plan!$B$15)&gt;0,N(H173)&lt;=0),Plan!$D$15,0)+IF(AND(N(Plan!$B$16)&gt;0,N(I173)&lt;=0),Plan!$D$16,0)+IF(AND(N(Plan!$B$17)&gt;0,N(J173)&lt;=0),Plan!$D$17,0)+IF(AND(N(Plan!$B$18)&gt;0,N(K173)&lt;=0),Plan!$D$18,0),0)))</f>
        <v/>
      </c>
    </row>
    <row r="175">
      <c r="A175" s="17" t="n">
        <v>171</v>
      </c>
      <c r="B175" s="18">
        <f>IF(N(B174)&lt;=0,0,MAX(0,B174*(1+Plan!$C$9/12)-(Plan!$D$9+IF(Plan!$E$9=$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C175" s="18">
        <f>IF(N(C174)&lt;=0,0,MAX(0,C174*(1+Plan!$C$10/12)-(Plan!$D$10+IF(Plan!$E$10=$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D175" s="18">
        <f>IF(N(D174)&lt;=0,0,MAX(0,D174*(1+Plan!$C$11/12)-(Plan!$D$11+IF(Plan!$E$11=$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E175" s="18">
        <f>IF(N(E174)&lt;=0,0,MAX(0,E174*(1+Plan!$C$12/12)-(Plan!$D$12+IF(Plan!$E$12=$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F175" s="18">
        <f>IF(N(F174)&lt;=0,0,MAX(0,F174*(1+Plan!$C$13/12)-(Plan!$D$13+IF(Plan!$E$13=$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G175" s="18">
        <f>IF(N(G174)&lt;=0,0,MAX(0,G174*(1+Plan!$C$14/12)-(Plan!$D$14+IF(Plan!$E$14=$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H175" s="18">
        <f>IF(N(H174)&lt;=0,0,MAX(0,H174*(1+Plan!$C$15/12)-(Plan!$D$15+IF(Plan!$E$15=$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I175" s="18">
        <f>IF(N(I174)&lt;=0,0,MAX(0,I174*(1+Plan!$C$16/12)-(Plan!$D$16+IF(Plan!$E$16=$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J175" s="18">
        <f>IF(N(J174)&lt;=0,0,MAX(0,J174*(1+Plan!$C$17/12)-(Plan!$D$17+IF(Plan!$E$17=$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K175" s="18">
        <f>IF(N(K174)&lt;=0,0,MAX(0,K174*(1+Plan!$C$18/12)-(Plan!$D$18+IF(Plan!$E$18=$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c r="L175" s="19">
        <f>MIN(IF(N(B174)&gt;0,Plan!$E$9,999),IF(N(C174)&gt;0,Plan!$E$10,999),IF(N(D174)&gt;0,Plan!$E$11,999),IF(N(E174)&gt;0,Plan!$E$12,999),IF(N(F174)&gt;0,Plan!$E$13,999),IF(N(G174)&gt;0,Plan!$E$14,999),IF(N(H174)&gt;0,Plan!$E$15,999),IF(N(I174)&gt;0,Plan!$E$16,999),IF(N(J174)&gt;0,Plan!$E$17,999),IF(N(K174)&gt;0,Plan!$E$18,999))</f>
        <v/>
      </c>
      <c r="M175" s="18">
        <f>IF(N(B174)&lt;=0,0,MIN(B174*(1+Plan!$C$9/12),Plan!$D$9+IF(Plan!$E$9=$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IF(N(C174)&lt;=0,0,MIN(C174*(1+Plan!$C$10/12),Plan!$D$10+IF(Plan!$E$10=$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IF(N(D174)&lt;=0,0,MIN(D174*(1+Plan!$C$11/12),Plan!$D$11+IF(Plan!$E$11=$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IF(N(E174)&lt;=0,0,MIN(E174*(1+Plan!$C$12/12),Plan!$D$12+IF(Plan!$E$12=$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IF(N(F174)&lt;=0,0,MIN(F174*(1+Plan!$C$13/12),Plan!$D$13+IF(Plan!$E$13=$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IF(N(G174)&lt;=0,0,MIN(G174*(1+Plan!$C$14/12),Plan!$D$14+IF(Plan!$E$14=$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IF(N(H174)&lt;=0,0,MIN(H174*(1+Plan!$C$15/12),Plan!$D$15+IF(Plan!$E$15=$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IF(N(I174)&lt;=0,0,MIN(I174*(1+Plan!$C$16/12),Plan!$D$16+IF(Plan!$E$16=$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IF(N(J174)&lt;=0,0,MIN(J174*(1+Plan!$C$17/12),Plan!$D$17+IF(Plan!$E$17=$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IF(N(K174)&lt;=0,0,MIN(K174*(1+Plan!$C$18/12),Plan!$D$18+IF(Plan!$E$18=$L175,Plan!$B$5+IF(AND(N(Plan!$B$9)&gt;0,N(B174)&lt;=0),Plan!$D$9,0)+IF(AND(N(Plan!$B$10)&gt;0,N(C174)&lt;=0),Plan!$D$10,0)+IF(AND(N(Plan!$B$11)&gt;0,N(D174)&lt;=0),Plan!$D$11,0)+IF(AND(N(Plan!$B$12)&gt;0,N(E174)&lt;=0),Plan!$D$12,0)+IF(AND(N(Plan!$B$13)&gt;0,N(F174)&lt;=0),Plan!$D$13,0)+IF(AND(N(Plan!$B$14)&gt;0,N(G174)&lt;=0),Plan!$D$14,0)+IF(AND(N(Plan!$B$15)&gt;0,N(H174)&lt;=0),Plan!$D$15,0)+IF(AND(N(Plan!$B$16)&gt;0,N(I174)&lt;=0),Plan!$D$16,0)+IF(AND(N(Plan!$B$17)&gt;0,N(J174)&lt;=0),Plan!$D$17,0)+IF(AND(N(Plan!$B$18)&gt;0,N(K174)&lt;=0),Plan!$D$18,0),0)))</f>
        <v/>
      </c>
    </row>
    <row r="176">
      <c r="A176" s="17" t="n">
        <v>172</v>
      </c>
      <c r="B176" s="18">
        <f>IF(N(B175)&lt;=0,0,MAX(0,B175*(1+Plan!$C$9/12)-(Plan!$D$9+IF(Plan!$E$9=$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C176" s="18">
        <f>IF(N(C175)&lt;=0,0,MAX(0,C175*(1+Plan!$C$10/12)-(Plan!$D$10+IF(Plan!$E$10=$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D176" s="18">
        <f>IF(N(D175)&lt;=0,0,MAX(0,D175*(1+Plan!$C$11/12)-(Plan!$D$11+IF(Plan!$E$11=$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E176" s="18">
        <f>IF(N(E175)&lt;=0,0,MAX(0,E175*(1+Plan!$C$12/12)-(Plan!$D$12+IF(Plan!$E$12=$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F176" s="18">
        <f>IF(N(F175)&lt;=0,0,MAX(0,F175*(1+Plan!$C$13/12)-(Plan!$D$13+IF(Plan!$E$13=$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G176" s="18">
        <f>IF(N(G175)&lt;=0,0,MAX(0,G175*(1+Plan!$C$14/12)-(Plan!$D$14+IF(Plan!$E$14=$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H176" s="18">
        <f>IF(N(H175)&lt;=0,0,MAX(0,H175*(1+Plan!$C$15/12)-(Plan!$D$15+IF(Plan!$E$15=$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I176" s="18">
        <f>IF(N(I175)&lt;=0,0,MAX(0,I175*(1+Plan!$C$16/12)-(Plan!$D$16+IF(Plan!$E$16=$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J176" s="18">
        <f>IF(N(J175)&lt;=0,0,MAX(0,J175*(1+Plan!$C$17/12)-(Plan!$D$17+IF(Plan!$E$17=$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K176" s="18">
        <f>IF(N(K175)&lt;=0,0,MAX(0,K175*(1+Plan!$C$18/12)-(Plan!$D$18+IF(Plan!$E$18=$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c r="L176" s="19">
        <f>MIN(IF(N(B175)&gt;0,Plan!$E$9,999),IF(N(C175)&gt;0,Plan!$E$10,999),IF(N(D175)&gt;0,Plan!$E$11,999),IF(N(E175)&gt;0,Plan!$E$12,999),IF(N(F175)&gt;0,Plan!$E$13,999),IF(N(G175)&gt;0,Plan!$E$14,999),IF(N(H175)&gt;0,Plan!$E$15,999),IF(N(I175)&gt;0,Plan!$E$16,999),IF(N(J175)&gt;0,Plan!$E$17,999),IF(N(K175)&gt;0,Plan!$E$18,999))</f>
        <v/>
      </c>
      <c r="M176" s="18">
        <f>IF(N(B175)&lt;=0,0,MIN(B175*(1+Plan!$C$9/12),Plan!$D$9+IF(Plan!$E$9=$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IF(N(C175)&lt;=0,0,MIN(C175*(1+Plan!$C$10/12),Plan!$D$10+IF(Plan!$E$10=$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IF(N(D175)&lt;=0,0,MIN(D175*(1+Plan!$C$11/12),Plan!$D$11+IF(Plan!$E$11=$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IF(N(E175)&lt;=0,0,MIN(E175*(1+Plan!$C$12/12),Plan!$D$12+IF(Plan!$E$12=$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IF(N(F175)&lt;=0,0,MIN(F175*(1+Plan!$C$13/12),Plan!$D$13+IF(Plan!$E$13=$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IF(N(G175)&lt;=0,0,MIN(G175*(1+Plan!$C$14/12),Plan!$D$14+IF(Plan!$E$14=$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IF(N(H175)&lt;=0,0,MIN(H175*(1+Plan!$C$15/12),Plan!$D$15+IF(Plan!$E$15=$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IF(N(I175)&lt;=0,0,MIN(I175*(1+Plan!$C$16/12),Plan!$D$16+IF(Plan!$E$16=$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IF(N(J175)&lt;=0,0,MIN(J175*(1+Plan!$C$17/12),Plan!$D$17+IF(Plan!$E$17=$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IF(N(K175)&lt;=0,0,MIN(K175*(1+Plan!$C$18/12),Plan!$D$18+IF(Plan!$E$18=$L176,Plan!$B$5+IF(AND(N(Plan!$B$9)&gt;0,N(B175)&lt;=0),Plan!$D$9,0)+IF(AND(N(Plan!$B$10)&gt;0,N(C175)&lt;=0),Plan!$D$10,0)+IF(AND(N(Plan!$B$11)&gt;0,N(D175)&lt;=0),Plan!$D$11,0)+IF(AND(N(Plan!$B$12)&gt;0,N(E175)&lt;=0),Plan!$D$12,0)+IF(AND(N(Plan!$B$13)&gt;0,N(F175)&lt;=0),Plan!$D$13,0)+IF(AND(N(Plan!$B$14)&gt;0,N(G175)&lt;=0),Plan!$D$14,0)+IF(AND(N(Plan!$B$15)&gt;0,N(H175)&lt;=0),Plan!$D$15,0)+IF(AND(N(Plan!$B$16)&gt;0,N(I175)&lt;=0),Plan!$D$16,0)+IF(AND(N(Plan!$B$17)&gt;0,N(J175)&lt;=0),Plan!$D$17,0)+IF(AND(N(Plan!$B$18)&gt;0,N(K175)&lt;=0),Plan!$D$18,0),0)))</f>
        <v/>
      </c>
    </row>
    <row r="177">
      <c r="A177" s="17" t="n">
        <v>173</v>
      </c>
      <c r="B177" s="18">
        <f>IF(N(B176)&lt;=0,0,MAX(0,B176*(1+Plan!$C$9/12)-(Plan!$D$9+IF(Plan!$E$9=$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C177" s="18">
        <f>IF(N(C176)&lt;=0,0,MAX(0,C176*(1+Plan!$C$10/12)-(Plan!$D$10+IF(Plan!$E$10=$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D177" s="18">
        <f>IF(N(D176)&lt;=0,0,MAX(0,D176*(1+Plan!$C$11/12)-(Plan!$D$11+IF(Plan!$E$11=$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E177" s="18">
        <f>IF(N(E176)&lt;=0,0,MAX(0,E176*(1+Plan!$C$12/12)-(Plan!$D$12+IF(Plan!$E$12=$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F177" s="18">
        <f>IF(N(F176)&lt;=0,0,MAX(0,F176*(1+Plan!$C$13/12)-(Plan!$D$13+IF(Plan!$E$13=$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G177" s="18">
        <f>IF(N(G176)&lt;=0,0,MAX(0,G176*(1+Plan!$C$14/12)-(Plan!$D$14+IF(Plan!$E$14=$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H177" s="18">
        <f>IF(N(H176)&lt;=0,0,MAX(0,H176*(1+Plan!$C$15/12)-(Plan!$D$15+IF(Plan!$E$15=$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I177" s="18">
        <f>IF(N(I176)&lt;=0,0,MAX(0,I176*(1+Plan!$C$16/12)-(Plan!$D$16+IF(Plan!$E$16=$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J177" s="18">
        <f>IF(N(J176)&lt;=0,0,MAX(0,J176*(1+Plan!$C$17/12)-(Plan!$D$17+IF(Plan!$E$17=$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K177" s="18">
        <f>IF(N(K176)&lt;=0,0,MAX(0,K176*(1+Plan!$C$18/12)-(Plan!$D$18+IF(Plan!$E$18=$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c r="L177" s="19">
        <f>MIN(IF(N(B176)&gt;0,Plan!$E$9,999),IF(N(C176)&gt;0,Plan!$E$10,999),IF(N(D176)&gt;0,Plan!$E$11,999),IF(N(E176)&gt;0,Plan!$E$12,999),IF(N(F176)&gt;0,Plan!$E$13,999),IF(N(G176)&gt;0,Plan!$E$14,999),IF(N(H176)&gt;0,Plan!$E$15,999),IF(N(I176)&gt;0,Plan!$E$16,999),IF(N(J176)&gt;0,Plan!$E$17,999),IF(N(K176)&gt;0,Plan!$E$18,999))</f>
        <v/>
      </c>
      <c r="M177" s="18">
        <f>IF(N(B176)&lt;=0,0,MIN(B176*(1+Plan!$C$9/12),Plan!$D$9+IF(Plan!$E$9=$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IF(N(C176)&lt;=0,0,MIN(C176*(1+Plan!$C$10/12),Plan!$D$10+IF(Plan!$E$10=$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IF(N(D176)&lt;=0,0,MIN(D176*(1+Plan!$C$11/12),Plan!$D$11+IF(Plan!$E$11=$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IF(N(E176)&lt;=0,0,MIN(E176*(1+Plan!$C$12/12),Plan!$D$12+IF(Plan!$E$12=$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IF(N(F176)&lt;=0,0,MIN(F176*(1+Plan!$C$13/12),Plan!$D$13+IF(Plan!$E$13=$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IF(N(G176)&lt;=0,0,MIN(G176*(1+Plan!$C$14/12),Plan!$D$14+IF(Plan!$E$14=$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IF(N(H176)&lt;=0,0,MIN(H176*(1+Plan!$C$15/12),Plan!$D$15+IF(Plan!$E$15=$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IF(N(I176)&lt;=0,0,MIN(I176*(1+Plan!$C$16/12),Plan!$D$16+IF(Plan!$E$16=$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IF(N(J176)&lt;=0,0,MIN(J176*(1+Plan!$C$17/12),Plan!$D$17+IF(Plan!$E$17=$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IF(N(K176)&lt;=0,0,MIN(K176*(1+Plan!$C$18/12),Plan!$D$18+IF(Plan!$E$18=$L177,Plan!$B$5+IF(AND(N(Plan!$B$9)&gt;0,N(B176)&lt;=0),Plan!$D$9,0)+IF(AND(N(Plan!$B$10)&gt;0,N(C176)&lt;=0),Plan!$D$10,0)+IF(AND(N(Plan!$B$11)&gt;0,N(D176)&lt;=0),Plan!$D$11,0)+IF(AND(N(Plan!$B$12)&gt;0,N(E176)&lt;=0),Plan!$D$12,0)+IF(AND(N(Plan!$B$13)&gt;0,N(F176)&lt;=0),Plan!$D$13,0)+IF(AND(N(Plan!$B$14)&gt;0,N(G176)&lt;=0),Plan!$D$14,0)+IF(AND(N(Plan!$B$15)&gt;0,N(H176)&lt;=0),Plan!$D$15,0)+IF(AND(N(Plan!$B$16)&gt;0,N(I176)&lt;=0),Plan!$D$16,0)+IF(AND(N(Plan!$B$17)&gt;0,N(J176)&lt;=0),Plan!$D$17,0)+IF(AND(N(Plan!$B$18)&gt;0,N(K176)&lt;=0),Plan!$D$18,0),0)))</f>
        <v/>
      </c>
    </row>
    <row r="178">
      <c r="A178" s="17" t="n">
        <v>174</v>
      </c>
      <c r="B178" s="18">
        <f>IF(N(B177)&lt;=0,0,MAX(0,B177*(1+Plan!$C$9/12)-(Plan!$D$9+IF(Plan!$E$9=$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C178" s="18">
        <f>IF(N(C177)&lt;=0,0,MAX(0,C177*(1+Plan!$C$10/12)-(Plan!$D$10+IF(Plan!$E$10=$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D178" s="18">
        <f>IF(N(D177)&lt;=0,0,MAX(0,D177*(1+Plan!$C$11/12)-(Plan!$D$11+IF(Plan!$E$11=$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E178" s="18">
        <f>IF(N(E177)&lt;=0,0,MAX(0,E177*(1+Plan!$C$12/12)-(Plan!$D$12+IF(Plan!$E$12=$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F178" s="18">
        <f>IF(N(F177)&lt;=0,0,MAX(0,F177*(1+Plan!$C$13/12)-(Plan!$D$13+IF(Plan!$E$13=$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G178" s="18">
        <f>IF(N(G177)&lt;=0,0,MAX(0,G177*(1+Plan!$C$14/12)-(Plan!$D$14+IF(Plan!$E$14=$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H178" s="18">
        <f>IF(N(H177)&lt;=0,0,MAX(0,H177*(1+Plan!$C$15/12)-(Plan!$D$15+IF(Plan!$E$15=$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I178" s="18">
        <f>IF(N(I177)&lt;=0,0,MAX(0,I177*(1+Plan!$C$16/12)-(Plan!$D$16+IF(Plan!$E$16=$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J178" s="18">
        <f>IF(N(J177)&lt;=0,0,MAX(0,J177*(1+Plan!$C$17/12)-(Plan!$D$17+IF(Plan!$E$17=$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K178" s="18">
        <f>IF(N(K177)&lt;=0,0,MAX(0,K177*(1+Plan!$C$18/12)-(Plan!$D$18+IF(Plan!$E$18=$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c r="L178" s="19">
        <f>MIN(IF(N(B177)&gt;0,Plan!$E$9,999),IF(N(C177)&gt;0,Plan!$E$10,999),IF(N(D177)&gt;0,Plan!$E$11,999),IF(N(E177)&gt;0,Plan!$E$12,999),IF(N(F177)&gt;0,Plan!$E$13,999),IF(N(G177)&gt;0,Plan!$E$14,999),IF(N(H177)&gt;0,Plan!$E$15,999),IF(N(I177)&gt;0,Plan!$E$16,999),IF(N(J177)&gt;0,Plan!$E$17,999),IF(N(K177)&gt;0,Plan!$E$18,999))</f>
        <v/>
      </c>
      <c r="M178" s="18">
        <f>IF(N(B177)&lt;=0,0,MIN(B177*(1+Plan!$C$9/12),Plan!$D$9+IF(Plan!$E$9=$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IF(N(C177)&lt;=0,0,MIN(C177*(1+Plan!$C$10/12),Plan!$D$10+IF(Plan!$E$10=$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IF(N(D177)&lt;=0,0,MIN(D177*(1+Plan!$C$11/12),Plan!$D$11+IF(Plan!$E$11=$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IF(N(E177)&lt;=0,0,MIN(E177*(1+Plan!$C$12/12),Plan!$D$12+IF(Plan!$E$12=$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IF(N(F177)&lt;=0,0,MIN(F177*(1+Plan!$C$13/12),Plan!$D$13+IF(Plan!$E$13=$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IF(N(G177)&lt;=0,0,MIN(G177*(1+Plan!$C$14/12),Plan!$D$14+IF(Plan!$E$14=$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IF(N(H177)&lt;=0,0,MIN(H177*(1+Plan!$C$15/12),Plan!$D$15+IF(Plan!$E$15=$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IF(N(I177)&lt;=0,0,MIN(I177*(1+Plan!$C$16/12),Plan!$D$16+IF(Plan!$E$16=$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IF(N(J177)&lt;=0,0,MIN(J177*(1+Plan!$C$17/12),Plan!$D$17+IF(Plan!$E$17=$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IF(N(K177)&lt;=0,0,MIN(K177*(1+Plan!$C$18/12),Plan!$D$18+IF(Plan!$E$18=$L178,Plan!$B$5+IF(AND(N(Plan!$B$9)&gt;0,N(B177)&lt;=0),Plan!$D$9,0)+IF(AND(N(Plan!$B$10)&gt;0,N(C177)&lt;=0),Plan!$D$10,0)+IF(AND(N(Plan!$B$11)&gt;0,N(D177)&lt;=0),Plan!$D$11,0)+IF(AND(N(Plan!$B$12)&gt;0,N(E177)&lt;=0),Plan!$D$12,0)+IF(AND(N(Plan!$B$13)&gt;0,N(F177)&lt;=0),Plan!$D$13,0)+IF(AND(N(Plan!$B$14)&gt;0,N(G177)&lt;=0),Plan!$D$14,0)+IF(AND(N(Plan!$B$15)&gt;0,N(H177)&lt;=0),Plan!$D$15,0)+IF(AND(N(Plan!$B$16)&gt;0,N(I177)&lt;=0),Plan!$D$16,0)+IF(AND(N(Plan!$B$17)&gt;0,N(J177)&lt;=0),Plan!$D$17,0)+IF(AND(N(Plan!$B$18)&gt;0,N(K177)&lt;=0),Plan!$D$18,0),0)))</f>
        <v/>
      </c>
    </row>
    <row r="179">
      <c r="A179" s="17" t="n">
        <v>175</v>
      </c>
      <c r="B179" s="18">
        <f>IF(N(B178)&lt;=0,0,MAX(0,B178*(1+Plan!$C$9/12)-(Plan!$D$9+IF(Plan!$E$9=$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C179" s="18">
        <f>IF(N(C178)&lt;=0,0,MAX(0,C178*(1+Plan!$C$10/12)-(Plan!$D$10+IF(Plan!$E$10=$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D179" s="18">
        <f>IF(N(D178)&lt;=0,0,MAX(0,D178*(1+Plan!$C$11/12)-(Plan!$D$11+IF(Plan!$E$11=$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E179" s="18">
        <f>IF(N(E178)&lt;=0,0,MAX(0,E178*(1+Plan!$C$12/12)-(Plan!$D$12+IF(Plan!$E$12=$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F179" s="18">
        <f>IF(N(F178)&lt;=0,0,MAX(0,F178*(1+Plan!$C$13/12)-(Plan!$D$13+IF(Plan!$E$13=$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G179" s="18">
        <f>IF(N(G178)&lt;=0,0,MAX(0,G178*(1+Plan!$C$14/12)-(Plan!$D$14+IF(Plan!$E$14=$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H179" s="18">
        <f>IF(N(H178)&lt;=0,0,MAX(0,H178*(1+Plan!$C$15/12)-(Plan!$D$15+IF(Plan!$E$15=$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I179" s="18">
        <f>IF(N(I178)&lt;=0,0,MAX(0,I178*(1+Plan!$C$16/12)-(Plan!$D$16+IF(Plan!$E$16=$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J179" s="18">
        <f>IF(N(J178)&lt;=0,0,MAX(0,J178*(1+Plan!$C$17/12)-(Plan!$D$17+IF(Plan!$E$17=$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K179" s="18">
        <f>IF(N(K178)&lt;=0,0,MAX(0,K178*(1+Plan!$C$18/12)-(Plan!$D$18+IF(Plan!$E$18=$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c r="L179" s="19">
        <f>MIN(IF(N(B178)&gt;0,Plan!$E$9,999),IF(N(C178)&gt;0,Plan!$E$10,999),IF(N(D178)&gt;0,Plan!$E$11,999),IF(N(E178)&gt;0,Plan!$E$12,999),IF(N(F178)&gt;0,Plan!$E$13,999),IF(N(G178)&gt;0,Plan!$E$14,999),IF(N(H178)&gt;0,Plan!$E$15,999),IF(N(I178)&gt;0,Plan!$E$16,999),IF(N(J178)&gt;0,Plan!$E$17,999),IF(N(K178)&gt;0,Plan!$E$18,999))</f>
        <v/>
      </c>
      <c r="M179" s="18">
        <f>IF(N(B178)&lt;=0,0,MIN(B178*(1+Plan!$C$9/12),Plan!$D$9+IF(Plan!$E$9=$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IF(N(C178)&lt;=0,0,MIN(C178*(1+Plan!$C$10/12),Plan!$D$10+IF(Plan!$E$10=$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IF(N(D178)&lt;=0,0,MIN(D178*(1+Plan!$C$11/12),Plan!$D$11+IF(Plan!$E$11=$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IF(N(E178)&lt;=0,0,MIN(E178*(1+Plan!$C$12/12),Plan!$D$12+IF(Plan!$E$12=$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IF(N(F178)&lt;=0,0,MIN(F178*(1+Plan!$C$13/12),Plan!$D$13+IF(Plan!$E$13=$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IF(N(G178)&lt;=0,0,MIN(G178*(1+Plan!$C$14/12),Plan!$D$14+IF(Plan!$E$14=$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IF(N(H178)&lt;=0,0,MIN(H178*(1+Plan!$C$15/12),Plan!$D$15+IF(Plan!$E$15=$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IF(N(I178)&lt;=0,0,MIN(I178*(1+Plan!$C$16/12),Plan!$D$16+IF(Plan!$E$16=$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IF(N(J178)&lt;=0,0,MIN(J178*(1+Plan!$C$17/12),Plan!$D$17+IF(Plan!$E$17=$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IF(N(K178)&lt;=0,0,MIN(K178*(1+Plan!$C$18/12),Plan!$D$18+IF(Plan!$E$18=$L179,Plan!$B$5+IF(AND(N(Plan!$B$9)&gt;0,N(B178)&lt;=0),Plan!$D$9,0)+IF(AND(N(Plan!$B$10)&gt;0,N(C178)&lt;=0),Plan!$D$10,0)+IF(AND(N(Plan!$B$11)&gt;0,N(D178)&lt;=0),Plan!$D$11,0)+IF(AND(N(Plan!$B$12)&gt;0,N(E178)&lt;=0),Plan!$D$12,0)+IF(AND(N(Plan!$B$13)&gt;0,N(F178)&lt;=0),Plan!$D$13,0)+IF(AND(N(Plan!$B$14)&gt;0,N(G178)&lt;=0),Plan!$D$14,0)+IF(AND(N(Plan!$B$15)&gt;0,N(H178)&lt;=0),Plan!$D$15,0)+IF(AND(N(Plan!$B$16)&gt;0,N(I178)&lt;=0),Plan!$D$16,0)+IF(AND(N(Plan!$B$17)&gt;0,N(J178)&lt;=0),Plan!$D$17,0)+IF(AND(N(Plan!$B$18)&gt;0,N(K178)&lt;=0),Plan!$D$18,0),0)))</f>
        <v/>
      </c>
    </row>
    <row r="180">
      <c r="A180" s="17" t="n">
        <v>176</v>
      </c>
      <c r="B180" s="18">
        <f>IF(N(B179)&lt;=0,0,MAX(0,B179*(1+Plan!$C$9/12)-(Plan!$D$9+IF(Plan!$E$9=$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C180" s="18">
        <f>IF(N(C179)&lt;=0,0,MAX(0,C179*(1+Plan!$C$10/12)-(Plan!$D$10+IF(Plan!$E$10=$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D180" s="18">
        <f>IF(N(D179)&lt;=0,0,MAX(0,D179*(1+Plan!$C$11/12)-(Plan!$D$11+IF(Plan!$E$11=$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E180" s="18">
        <f>IF(N(E179)&lt;=0,0,MAX(0,E179*(1+Plan!$C$12/12)-(Plan!$D$12+IF(Plan!$E$12=$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F180" s="18">
        <f>IF(N(F179)&lt;=0,0,MAX(0,F179*(1+Plan!$C$13/12)-(Plan!$D$13+IF(Plan!$E$13=$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G180" s="18">
        <f>IF(N(G179)&lt;=0,0,MAX(0,G179*(1+Plan!$C$14/12)-(Plan!$D$14+IF(Plan!$E$14=$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H180" s="18">
        <f>IF(N(H179)&lt;=0,0,MAX(0,H179*(1+Plan!$C$15/12)-(Plan!$D$15+IF(Plan!$E$15=$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I180" s="18">
        <f>IF(N(I179)&lt;=0,0,MAX(0,I179*(1+Plan!$C$16/12)-(Plan!$D$16+IF(Plan!$E$16=$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J180" s="18">
        <f>IF(N(J179)&lt;=0,0,MAX(0,J179*(1+Plan!$C$17/12)-(Plan!$D$17+IF(Plan!$E$17=$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K180" s="18">
        <f>IF(N(K179)&lt;=0,0,MAX(0,K179*(1+Plan!$C$18/12)-(Plan!$D$18+IF(Plan!$E$18=$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c r="L180" s="19">
        <f>MIN(IF(N(B179)&gt;0,Plan!$E$9,999),IF(N(C179)&gt;0,Plan!$E$10,999),IF(N(D179)&gt;0,Plan!$E$11,999),IF(N(E179)&gt;0,Plan!$E$12,999),IF(N(F179)&gt;0,Plan!$E$13,999),IF(N(G179)&gt;0,Plan!$E$14,999),IF(N(H179)&gt;0,Plan!$E$15,999),IF(N(I179)&gt;0,Plan!$E$16,999),IF(N(J179)&gt;0,Plan!$E$17,999),IF(N(K179)&gt;0,Plan!$E$18,999))</f>
        <v/>
      </c>
      <c r="M180" s="18">
        <f>IF(N(B179)&lt;=0,0,MIN(B179*(1+Plan!$C$9/12),Plan!$D$9+IF(Plan!$E$9=$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IF(N(C179)&lt;=0,0,MIN(C179*(1+Plan!$C$10/12),Plan!$D$10+IF(Plan!$E$10=$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IF(N(D179)&lt;=0,0,MIN(D179*(1+Plan!$C$11/12),Plan!$D$11+IF(Plan!$E$11=$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IF(N(E179)&lt;=0,0,MIN(E179*(1+Plan!$C$12/12),Plan!$D$12+IF(Plan!$E$12=$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IF(N(F179)&lt;=0,0,MIN(F179*(1+Plan!$C$13/12),Plan!$D$13+IF(Plan!$E$13=$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IF(N(G179)&lt;=0,0,MIN(G179*(1+Plan!$C$14/12),Plan!$D$14+IF(Plan!$E$14=$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IF(N(H179)&lt;=0,0,MIN(H179*(1+Plan!$C$15/12),Plan!$D$15+IF(Plan!$E$15=$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IF(N(I179)&lt;=0,0,MIN(I179*(1+Plan!$C$16/12),Plan!$D$16+IF(Plan!$E$16=$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IF(N(J179)&lt;=0,0,MIN(J179*(1+Plan!$C$17/12),Plan!$D$17+IF(Plan!$E$17=$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IF(N(K179)&lt;=0,0,MIN(K179*(1+Plan!$C$18/12),Plan!$D$18+IF(Plan!$E$18=$L180,Plan!$B$5+IF(AND(N(Plan!$B$9)&gt;0,N(B179)&lt;=0),Plan!$D$9,0)+IF(AND(N(Plan!$B$10)&gt;0,N(C179)&lt;=0),Plan!$D$10,0)+IF(AND(N(Plan!$B$11)&gt;0,N(D179)&lt;=0),Plan!$D$11,0)+IF(AND(N(Plan!$B$12)&gt;0,N(E179)&lt;=0),Plan!$D$12,0)+IF(AND(N(Plan!$B$13)&gt;0,N(F179)&lt;=0),Plan!$D$13,0)+IF(AND(N(Plan!$B$14)&gt;0,N(G179)&lt;=0),Plan!$D$14,0)+IF(AND(N(Plan!$B$15)&gt;0,N(H179)&lt;=0),Plan!$D$15,0)+IF(AND(N(Plan!$B$16)&gt;0,N(I179)&lt;=0),Plan!$D$16,0)+IF(AND(N(Plan!$B$17)&gt;0,N(J179)&lt;=0),Plan!$D$17,0)+IF(AND(N(Plan!$B$18)&gt;0,N(K179)&lt;=0),Plan!$D$18,0),0)))</f>
        <v/>
      </c>
    </row>
    <row r="181">
      <c r="A181" s="17" t="n">
        <v>177</v>
      </c>
      <c r="B181" s="18">
        <f>IF(N(B180)&lt;=0,0,MAX(0,B180*(1+Plan!$C$9/12)-(Plan!$D$9+IF(Plan!$E$9=$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C181" s="18">
        <f>IF(N(C180)&lt;=0,0,MAX(0,C180*(1+Plan!$C$10/12)-(Plan!$D$10+IF(Plan!$E$10=$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D181" s="18">
        <f>IF(N(D180)&lt;=0,0,MAX(0,D180*(1+Plan!$C$11/12)-(Plan!$D$11+IF(Plan!$E$11=$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E181" s="18">
        <f>IF(N(E180)&lt;=0,0,MAX(0,E180*(1+Plan!$C$12/12)-(Plan!$D$12+IF(Plan!$E$12=$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F181" s="18">
        <f>IF(N(F180)&lt;=0,0,MAX(0,F180*(1+Plan!$C$13/12)-(Plan!$D$13+IF(Plan!$E$13=$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G181" s="18">
        <f>IF(N(G180)&lt;=0,0,MAX(0,G180*(1+Plan!$C$14/12)-(Plan!$D$14+IF(Plan!$E$14=$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H181" s="18">
        <f>IF(N(H180)&lt;=0,0,MAX(0,H180*(1+Plan!$C$15/12)-(Plan!$D$15+IF(Plan!$E$15=$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I181" s="18">
        <f>IF(N(I180)&lt;=0,0,MAX(0,I180*(1+Plan!$C$16/12)-(Plan!$D$16+IF(Plan!$E$16=$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J181" s="18">
        <f>IF(N(J180)&lt;=0,0,MAX(0,J180*(1+Plan!$C$17/12)-(Plan!$D$17+IF(Plan!$E$17=$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K181" s="18">
        <f>IF(N(K180)&lt;=0,0,MAX(0,K180*(1+Plan!$C$18/12)-(Plan!$D$18+IF(Plan!$E$18=$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c r="L181" s="19">
        <f>MIN(IF(N(B180)&gt;0,Plan!$E$9,999),IF(N(C180)&gt;0,Plan!$E$10,999),IF(N(D180)&gt;0,Plan!$E$11,999),IF(N(E180)&gt;0,Plan!$E$12,999),IF(N(F180)&gt;0,Plan!$E$13,999),IF(N(G180)&gt;0,Plan!$E$14,999),IF(N(H180)&gt;0,Plan!$E$15,999),IF(N(I180)&gt;0,Plan!$E$16,999),IF(N(J180)&gt;0,Plan!$E$17,999),IF(N(K180)&gt;0,Plan!$E$18,999))</f>
        <v/>
      </c>
      <c r="M181" s="18">
        <f>IF(N(B180)&lt;=0,0,MIN(B180*(1+Plan!$C$9/12),Plan!$D$9+IF(Plan!$E$9=$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IF(N(C180)&lt;=0,0,MIN(C180*(1+Plan!$C$10/12),Plan!$D$10+IF(Plan!$E$10=$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IF(N(D180)&lt;=0,0,MIN(D180*(1+Plan!$C$11/12),Plan!$D$11+IF(Plan!$E$11=$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IF(N(E180)&lt;=0,0,MIN(E180*(1+Plan!$C$12/12),Plan!$D$12+IF(Plan!$E$12=$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IF(N(F180)&lt;=0,0,MIN(F180*(1+Plan!$C$13/12),Plan!$D$13+IF(Plan!$E$13=$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IF(N(G180)&lt;=0,0,MIN(G180*(1+Plan!$C$14/12),Plan!$D$14+IF(Plan!$E$14=$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IF(N(H180)&lt;=0,0,MIN(H180*(1+Plan!$C$15/12),Plan!$D$15+IF(Plan!$E$15=$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IF(N(I180)&lt;=0,0,MIN(I180*(1+Plan!$C$16/12),Plan!$D$16+IF(Plan!$E$16=$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IF(N(J180)&lt;=0,0,MIN(J180*(1+Plan!$C$17/12),Plan!$D$17+IF(Plan!$E$17=$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IF(N(K180)&lt;=0,0,MIN(K180*(1+Plan!$C$18/12),Plan!$D$18+IF(Plan!$E$18=$L181,Plan!$B$5+IF(AND(N(Plan!$B$9)&gt;0,N(B180)&lt;=0),Plan!$D$9,0)+IF(AND(N(Plan!$B$10)&gt;0,N(C180)&lt;=0),Plan!$D$10,0)+IF(AND(N(Plan!$B$11)&gt;0,N(D180)&lt;=0),Plan!$D$11,0)+IF(AND(N(Plan!$B$12)&gt;0,N(E180)&lt;=0),Plan!$D$12,0)+IF(AND(N(Plan!$B$13)&gt;0,N(F180)&lt;=0),Plan!$D$13,0)+IF(AND(N(Plan!$B$14)&gt;0,N(G180)&lt;=0),Plan!$D$14,0)+IF(AND(N(Plan!$B$15)&gt;0,N(H180)&lt;=0),Plan!$D$15,0)+IF(AND(N(Plan!$B$16)&gt;0,N(I180)&lt;=0),Plan!$D$16,0)+IF(AND(N(Plan!$B$17)&gt;0,N(J180)&lt;=0),Plan!$D$17,0)+IF(AND(N(Plan!$B$18)&gt;0,N(K180)&lt;=0),Plan!$D$18,0),0)))</f>
        <v/>
      </c>
    </row>
    <row r="182">
      <c r="A182" s="17" t="n">
        <v>178</v>
      </c>
      <c r="B182" s="18">
        <f>IF(N(B181)&lt;=0,0,MAX(0,B181*(1+Plan!$C$9/12)-(Plan!$D$9+IF(Plan!$E$9=$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C182" s="18">
        <f>IF(N(C181)&lt;=0,0,MAX(0,C181*(1+Plan!$C$10/12)-(Plan!$D$10+IF(Plan!$E$10=$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D182" s="18">
        <f>IF(N(D181)&lt;=0,0,MAX(0,D181*(1+Plan!$C$11/12)-(Plan!$D$11+IF(Plan!$E$11=$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E182" s="18">
        <f>IF(N(E181)&lt;=0,0,MAX(0,E181*(1+Plan!$C$12/12)-(Plan!$D$12+IF(Plan!$E$12=$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F182" s="18">
        <f>IF(N(F181)&lt;=0,0,MAX(0,F181*(1+Plan!$C$13/12)-(Plan!$D$13+IF(Plan!$E$13=$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G182" s="18">
        <f>IF(N(G181)&lt;=0,0,MAX(0,G181*(1+Plan!$C$14/12)-(Plan!$D$14+IF(Plan!$E$14=$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H182" s="18">
        <f>IF(N(H181)&lt;=0,0,MAX(0,H181*(1+Plan!$C$15/12)-(Plan!$D$15+IF(Plan!$E$15=$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I182" s="18">
        <f>IF(N(I181)&lt;=0,0,MAX(0,I181*(1+Plan!$C$16/12)-(Plan!$D$16+IF(Plan!$E$16=$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J182" s="18">
        <f>IF(N(J181)&lt;=0,0,MAX(0,J181*(1+Plan!$C$17/12)-(Plan!$D$17+IF(Plan!$E$17=$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K182" s="18">
        <f>IF(N(K181)&lt;=0,0,MAX(0,K181*(1+Plan!$C$18/12)-(Plan!$D$18+IF(Plan!$E$18=$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c r="L182" s="19">
        <f>MIN(IF(N(B181)&gt;0,Plan!$E$9,999),IF(N(C181)&gt;0,Plan!$E$10,999),IF(N(D181)&gt;0,Plan!$E$11,999),IF(N(E181)&gt;0,Plan!$E$12,999),IF(N(F181)&gt;0,Plan!$E$13,999),IF(N(G181)&gt;0,Plan!$E$14,999),IF(N(H181)&gt;0,Plan!$E$15,999),IF(N(I181)&gt;0,Plan!$E$16,999),IF(N(J181)&gt;0,Plan!$E$17,999),IF(N(K181)&gt;0,Plan!$E$18,999))</f>
        <v/>
      </c>
      <c r="M182" s="18">
        <f>IF(N(B181)&lt;=0,0,MIN(B181*(1+Plan!$C$9/12),Plan!$D$9+IF(Plan!$E$9=$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IF(N(C181)&lt;=0,0,MIN(C181*(1+Plan!$C$10/12),Plan!$D$10+IF(Plan!$E$10=$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IF(N(D181)&lt;=0,0,MIN(D181*(1+Plan!$C$11/12),Plan!$D$11+IF(Plan!$E$11=$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IF(N(E181)&lt;=0,0,MIN(E181*(1+Plan!$C$12/12),Plan!$D$12+IF(Plan!$E$12=$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IF(N(F181)&lt;=0,0,MIN(F181*(1+Plan!$C$13/12),Plan!$D$13+IF(Plan!$E$13=$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IF(N(G181)&lt;=0,0,MIN(G181*(1+Plan!$C$14/12),Plan!$D$14+IF(Plan!$E$14=$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IF(N(H181)&lt;=0,0,MIN(H181*(1+Plan!$C$15/12),Plan!$D$15+IF(Plan!$E$15=$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IF(N(I181)&lt;=0,0,MIN(I181*(1+Plan!$C$16/12),Plan!$D$16+IF(Plan!$E$16=$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IF(N(J181)&lt;=0,0,MIN(J181*(1+Plan!$C$17/12),Plan!$D$17+IF(Plan!$E$17=$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IF(N(K181)&lt;=0,0,MIN(K181*(1+Plan!$C$18/12),Plan!$D$18+IF(Plan!$E$18=$L182,Plan!$B$5+IF(AND(N(Plan!$B$9)&gt;0,N(B181)&lt;=0),Plan!$D$9,0)+IF(AND(N(Plan!$B$10)&gt;0,N(C181)&lt;=0),Plan!$D$10,0)+IF(AND(N(Plan!$B$11)&gt;0,N(D181)&lt;=0),Plan!$D$11,0)+IF(AND(N(Plan!$B$12)&gt;0,N(E181)&lt;=0),Plan!$D$12,0)+IF(AND(N(Plan!$B$13)&gt;0,N(F181)&lt;=0),Plan!$D$13,0)+IF(AND(N(Plan!$B$14)&gt;0,N(G181)&lt;=0),Plan!$D$14,0)+IF(AND(N(Plan!$B$15)&gt;0,N(H181)&lt;=0),Plan!$D$15,0)+IF(AND(N(Plan!$B$16)&gt;0,N(I181)&lt;=0),Plan!$D$16,0)+IF(AND(N(Plan!$B$17)&gt;0,N(J181)&lt;=0),Plan!$D$17,0)+IF(AND(N(Plan!$B$18)&gt;0,N(K181)&lt;=0),Plan!$D$18,0),0)))</f>
        <v/>
      </c>
    </row>
    <row r="183">
      <c r="A183" s="17" t="n">
        <v>179</v>
      </c>
      <c r="B183" s="18">
        <f>IF(N(B182)&lt;=0,0,MAX(0,B182*(1+Plan!$C$9/12)-(Plan!$D$9+IF(Plan!$E$9=$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C183" s="18">
        <f>IF(N(C182)&lt;=0,0,MAX(0,C182*(1+Plan!$C$10/12)-(Plan!$D$10+IF(Plan!$E$10=$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D183" s="18">
        <f>IF(N(D182)&lt;=0,0,MAX(0,D182*(1+Plan!$C$11/12)-(Plan!$D$11+IF(Plan!$E$11=$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E183" s="18">
        <f>IF(N(E182)&lt;=0,0,MAX(0,E182*(1+Plan!$C$12/12)-(Plan!$D$12+IF(Plan!$E$12=$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F183" s="18">
        <f>IF(N(F182)&lt;=0,0,MAX(0,F182*(1+Plan!$C$13/12)-(Plan!$D$13+IF(Plan!$E$13=$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G183" s="18">
        <f>IF(N(G182)&lt;=0,0,MAX(0,G182*(1+Plan!$C$14/12)-(Plan!$D$14+IF(Plan!$E$14=$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H183" s="18">
        <f>IF(N(H182)&lt;=0,0,MAX(0,H182*(1+Plan!$C$15/12)-(Plan!$D$15+IF(Plan!$E$15=$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I183" s="18">
        <f>IF(N(I182)&lt;=0,0,MAX(0,I182*(1+Plan!$C$16/12)-(Plan!$D$16+IF(Plan!$E$16=$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J183" s="18">
        <f>IF(N(J182)&lt;=0,0,MAX(0,J182*(1+Plan!$C$17/12)-(Plan!$D$17+IF(Plan!$E$17=$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K183" s="18">
        <f>IF(N(K182)&lt;=0,0,MAX(0,K182*(1+Plan!$C$18/12)-(Plan!$D$18+IF(Plan!$E$18=$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c r="L183" s="19">
        <f>MIN(IF(N(B182)&gt;0,Plan!$E$9,999),IF(N(C182)&gt;0,Plan!$E$10,999),IF(N(D182)&gt;0,Plan!$E$11,999),IF(N(E182)&gt;0,Plan!$E$12,999),IF(N(F182)&gt;0,Plan!$E$13,999),IF(N(G182)&gt;0,Plan!$E$14,999),IF(N(H182)&gt;0,Plan!$E$15,999),IF(N(I182)&gt;0,Plan!$E$16,999),IF(N(J182)&gt;0,Plan!$E$17,999),IF(N(K182)&gt;0,Plan!$E$18,999))</f>
        <v/>
      </c>
      <c r="M183" s="18">
        <f>IF(N(B182)&lt;=0,0,MIN(B182*(1+Plan!$C$9/12),Plan!$D$9+IF(Plan!$E$9=$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IF(N(C182)&lt;=0,0,MIN(C182*(1+Plan!$C$10/12),Plan!$D$10+IF(Plan!$E$10=$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IF(N(D182)&lt;=0,0,MIN(D182*(1+Plan!$C$11/12),Plan!$D$11+IF(Plan!$E$11=$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IF(N(E182)&lt;=0,0,MIN(E182*(1+Plan!$C$12/12),Plan!$D$12+IF(Plan!$E$12=$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IF(N(F182)&lt;=0,0,MIN(F182*(1+Plan!$C$13/12),Plan!$D$13+IF(Plan!$E$13=$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IF(N(G182)&lt;=0,0,MIN(G182*(1+Plan!$C$14/12),Plan!$D$14+IF(Plan!$E$14=$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IF(N(H182)&lt;=0,0,MIN(H182*(1+Plan!$C$15/12),Plan!$D$15+IF(Plan!$E$15=$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IF(N(I182)&lt;=0,0,MIN(I182*(1+Plan!$C$16/12),Plan!$D$16+IF(Plan!$E$16=$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IF(N(J182)&lt;=0,0,MIN(J182*(1+Plan!$C$17/12),Plan!$D$17+IF(Plan!$E$17=$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IF(N(K182)&lt;=0,0,MIN(K182*(1+Plan!$C$18/12),Plan!$D$18+IF(Plan!$E$18=$L183,Plan!$B$5+IF(AND(N(Plan!$B$9)&gt;0,N(B182)&lt;=0),Plan!$D$9,0)+IF(AND(N(Plan!$B$10)&gt;0,N(C182)&lt;=0),Plan!$D$10,0)+IF(AND(N(Plan!$B$11)&gt;0,N(D182)&lt;=0),Plan!$D$11,0)+IF(AND(N(Plan!$B$12)&gt;0,N(E182)&lt;=0),Plan!$D$12,0)+IF(AND(N(Plan!$B$13)&gt;0,N(F182)&lt;=0),Plan!$D$13,0)+IF(AND(N(Plan!$B$14)&gt;0,N(G182)&lt;=0),Plan!$D$14,0)+IF(AND(N(Plan!$B$15)&gt;0,N(H182)&lt;=0),Plan!$D$15,0)+IF(AND(N(Plan!$B$16)&gt;0,N(I182)&lt;=0),Plan!$D$16,0)+IF(AND(N(Plan!$B$17)&gt;0,N(J182)&lt;=0),Plan!$D$17,0)+IF(AND(N(Plan!$B$18)&gt;0,N(K182)&lt;=0),Plan!$D$18,0),0)))</f>
        <v/>
      </c>
    </row>
    <row r="184">
      <c r="A184" s="17" t="n">
        <v>180</v>
      </c>
      <c r="B184" s="18">
        <f>IF(N(B183)&lt;=0,0,MAX(0,B183*(1+Plan!$C$9/12)-(Plan!$D$9+IF(Plan!$E$9=$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C184" s="18">
        <f>IF(N(C183)&lt;=0,0,MAX(0,C183*(1+Plan!$C$10/12)-(Plan!$D$10+IF(Plan!$E$10=$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D184" s="18">
        <f>IF(N(D183)&lt;=0,0,MAX(0,D183*(1+Plan!$C$11/12)-(Plan!$D$11+IF(Plan!$E$11=$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E184" s="18">
        <f>IF(N(E183)&lt;=0,0,MAX(0,E183*(1+Plan!$C$12/12)-(Plan!$D$12+IF(Plan!$E$12=$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F184" s="18">
        <f>IF(N(F183)&lt;=0,0,MAX(0,F183*(1+Plan!$C$13/12)-(Plan!$D$13+IF(Plan!$E$13=$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G184" s="18">
        <f>IF(N(G183)&lt;=0,0,MAX(0,G183*(1+Plan!$C$14/12)-(Plan!$D$14+IF(Plan!$E$14=$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H184" s="18">
        <f>IF(N(H183)&lt;=0,0,MAX(0,H183*(1+Plan!$C$15/12)-(Plan!$D$15+IF(Plan!$E$15=$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I184" s="18">
        <f>IF(N(I183)&lt;=0,0,MAX(0,I183*(1+Plan!$C$16/12)-(Plan!$D$16+IF(Plan!$E$16=$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J184" s="18">
        <f>IF(N(J183)&lt;=0,0,MAX(0,J183*(1+Plan!$C$17/12)-(Plan!$D$17+IF(Plan!$E$17=$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K184" s="18">
        <f>IF(N(K183)&lt;=0,0,MAX(0,K183*(1+Plan!$C$18/12)-(Plan!$D$18+IF(Plan!$E$18=$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c r="L184" s="19">
        <f>MIN(IF(N(B183)&gt;0,Plan!$E$9,999),IF(N(C183)&gt;0,Plan!$E$10,999),IF(N(D183)&gt;0,Plan!$E$11,999),IF(N(E183)&gt;0,Plan!$E$12,999),IF(N(F183)&gt;0,Plan!$E$13,999),IF(N(G183)&gt;0,Plan!$E$14,999),IF(N(H183)&gt;0,Plan!$E$15,999),IF(N(I183)&gt;0,Plan!$E$16,999),IF(N(J183)&gt;0,Plan!$E$17,999),IF(N(K183)&gt;0,Plan!$E$18,999))</f>
        <v/>
      </c>
      <c r="M184" s="18">
        <f>IF(N(B183)&lt;=0,0,MIN(B183*(1+Plan!$C$9/12),Plan!$D$9+IF(Plan!$E$9=$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IF(N(C183)&lt;=0,0,MIN(C183*(1+Plan!$C$10/12),Plan!$D$10+IF(Plan!$E$10=$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IF(N(D183)&lt;=0,0,MIN(D183*(1+Plan!$C$11/12),Plan!$D$11+IF(Plan!$E$11=$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IF(N(E183)&lt;=0,0,MIN(E183*(1+Plan!$C$12/12),Plan!$D$12+IF(Plan!$E$12=$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IF(N(F183)&lt;=0,0,MIN(F183*(1+Plan!$C$13/12),Plan!$D$13+IF(Plan!$E$13=$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IF(N(G183)&lt;=0,0,MIN(G183*(1+Plan!$C$14/12),Plan!$D$14+IF(Plan!$E$14=$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IF(N(H183)&lt;=0,0,MIN(H183*(1+Plan!$C$15/12),Plan!$D$15+IF(Plan!$E$15=$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IF(N(I183)&lt;=0,0,MIN(I183*(1+Plan!$C$16/12),Plan!$D$16+IF(Plan!$E$16=$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IF(N(J183)&lt;=0,0,MIN(J183*(1+Plan!$C$17/12),Plan!$D$17+IF(Plan!$E$17=$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IF(N(K183)&lt;=0,0,MIN(K183*(1+Plan!$C$18/12),Plan!$D$18+IF(Plan!$E$18=$L184,Plan!$B$5+IF(AND(N(Plan!$B$9)&gt;0,N(B183)&lt;=0),Plan!$D$9,0)+IF(AND(N(Plan!$B$10)&gt;0,N(C183)&lt;=0),Plan!$D$10,0)+IF(AND(N(Plan!$B$11)&gt;0,N(D183)&lt;=0),Plan!$D$11,0)+IF(AND(N(Plan!$B$12)&gt;0,N(E183)&lt;=0),Plan!$D$12,0)+IF(AND(N(Plan!$B$13)&gt;0,N(F183)&lt;=0),Plan!$D$13,0)+IF(AND(N(Plan!$B$14)&gt;0,N(G183)&lt;=0),Plan!$D$14,0)+IF(AND(N(Plan!$B$15)&gt;0,N(H183)&lt;=0),Plan!$D$15,0)+IF(AND(N(Plan!$B$16)&gt;0,N(I183)&lt;=0),Plan!$D$16,0)+IF(AND(N(Plan!$B$17)&gt;0,N(J183)&lt;=0),Plan!$D$17,0)+IF(AND(N(Plan!$B$18)&gt;0,N(K183)&lt;=0),Plan!$D$18,0),0)))</f>
        <v/>
      </c>
    </row>
    <row r="185">
      <c r="A185" s="17" t="n">
        <v>181</v>
      </c>
      <c r="B185" s="18">
        <f>IF(N(B184)&lt;=0,0,MAX(0,B184*(1+Plan!$C$9/12)-(Plan!$D$9+IF(Plan!$E$9=$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C185" s="18">
        <f>IF(N(C184)&lt;=0,0,MAX(0,C184*(1+Plan!$C$10/12)-(Plan!$D$10+IF(Plan!$E$10=$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D185" s="18">
        <f>IF(N(D184)&lt;=0,0,MAX(0,D184*(1+Plan!$C$11/12)-(Plan!$D$11+IF(Plan!$E$11=$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E185" s="18">
        <f>IF(N(E184)&lt;=0,0,MAX(0,E184*(1+Plan!$C$12/12)-(Plan!$D$12+IF(Plan!$E$12=$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F185" s="18">
        <f>IF(N(F184)&lt;=0,0,MAX(0,F184*(1+Plan!$C$13/12)-(Plan!$D$13+IF(Plan!$E$13=$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G185" s="18">
        <f>IF(N(G184)&lt;=0,0,MAX(0,G184*(1+Plan!$C$14/12)-(Plan!$D$14+IF(Plan!$E$14=$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H185" s="18">
        <f>IF(N(H184)&lt;=0,0,MAX(0,H184*(1+Plan!$C$15/12)-(Plan!$D$15+IF(Plan!$E$15=$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I185" s="18">
        <f>IF(N(I184)&lt;=0,0,MAX(0,I184*(1+Plan!$C$16/12)-(Plan!$D$16+IF(Plan!$E$16=$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J185" s="18">
        <f>IF(N(J184)&lt;=0,0,MAX(0,J184*(1+Plan!$C$17/12)-(Plan!$D$17+IF(Plan!$E$17=$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K185" s="18">
        <f>IF(N(K184)&lt;=0,0,MAX(0,K184*(1+Plan!$C$18/12)-(Plan!$D$18+IF(Plan!$E$18=$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c r="L185" s="19">
        <f>MIN(IF(N(B184)&gt;0,Plan!$E$9,999),IF(N(C184)&gt;0,Plan!$E$10,999),IF(N(D184)&gt;0,Plan!$E$11,999),IF(N(E184)&gt;0,Plan!$E$12,999),IF(N(F184)&gt;0,Plan!$E$13,999),IF(N(G184)&gt;0,Plan!$E$14,999),IF(N(H184)&gt;0,Plan!$E$15,999),IF(N(I184)&gt;0,Plan!$E$16,999),IF(N(J184)&gt;0,Plan!$E$17,999),IF(N(K184)&gt;0,Plan!$E$18,999))</f>
        <v/>
      </c>
      <c r="M185" s="18">
        <f>IF(N(B184)&lt;=0,0,MIN(B184*(1+Plan!$C$9/12),Plan!$D$9+IF(Plan!$E$9=$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IF(N(C184)&lt;=0,0,MIN(C184*(1+Plan!$C$10/12),Plan!$D$10+IF(Plan!$E$10=$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IF(N(D184)&lt;=0,0,MIN(D184*(1+Plan!$C$11/12),Plan!$D$11+IF(Plan!$E$11=$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IF(N(E184)&lt;=0,0,MIN(E184*(1+Plan!$C$12/12),Plan!$D$12+IF(Plan!$E$12=$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IF(N(F184)&lt;=0,0,MIN(F184*(1+Plan!$C$13/12),Plan!$D$13+IF(Plan!$E$13=$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IF(N(G184)&lt;=0,0,MIN(G184*(1+Plan!$C$14/12),Plan!$D$14+IF(Plan!$E$14=$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IF(N(H184)&lt;=0,0,MIN(H184*(1+Plan!$C$15/12),Plan!$D$15+IF(Plan!$E$15=$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IF(N(I184)&lt;=0,0,MIN(I184*(1+Plan!$C$16/12),Plan!$D$16+IF(Plan!$E$16=$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IF(N(J184)&lt;=0,0,MIN(J184*(1+Plan!$C$17/12),Plan!$D$17+IF(Plan!$E$17=$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IF(N(K184)&lt;=0,0,MIN(K184*(1+Plan!$C$18/12),Plan!$D$18+IF(Plan!$E$18=$L185,Plan!$B$5+IF(AND(N(Plan!$B$9)&gt;0,N(B184)&lt;=0),Plan!$D$9,0)+IF(AND(N(Plan!$B$10)&gt;0,N(C184)&lt;=0),Plan!$D$10,0)+IF(AND(N(Plan!$B$11)&gt;0,N(D184)&lt;=0),Plan!$D$11,0)+IF(AND(N(Plan!$B$12)&gt;0,N(E184)&lt;=0),Plan!$D$12,0)+IF(AND(N(Plan!$B$13)&gt;0,N(F184)&lt;=0),Plan!$D$13,0)+IF(AND(N(Plan!$B$14)&gt;0,N(G184)&lt;=0),Plan!$D$14,0)+IF(AND(N(Plan!$B$15)&gt;0,N(H184)&lt;=0),Plan!$D$15,0)+IF(AND(N(Plan!$B$16)&gt;0,N(I184)&lt;=0),Plan!$D$16,0)+IF(AND(N(Plan!$B$17)&gt;0,N(J184)&lt;=0),Plan!$D$17,0)+IF(AND(N(Plan!$B$18)&gt;0,N(K184)&lt;=0),Plan!$D$18,0),0)))</f>
        <v/>
      </c>
    </row>
    <row r="186">
      <c r="A186" s="17" t="n">
        <v>182</v>
      </c>
      <c r="B186" s="18">
        <f>IF(N(B185)&lt;=0,0,MAX(0,B185*(1+Plan!$C$9/12)-(Plan!$D$9+IF(Plan!$E$9=$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C186" s="18">
        <f>IF(N(C185)&lt;=0,0,MAX(0,C185*(1+Plan!$C$10/12)-(Plan!$D$10+IF(Plan!$E$10=$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D186" s="18">
        <f>IF(N(D185)&lt;=0,0,MAX(0,D185*(1+Plan!$C$11/12)-(Plan!$D$11+IF(Plan!$E$11=$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E186" s="18">
        <f>IF(N(E185)&lt;=0,0,MAX(0,E185*(1+Plan!$C$12/12)-(Plan!$D$12+IF(Plan!$E$12=$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F186" s="18">
        <f>IF(N(F185)&lt;=0,0,MAX(0,F185*(1+Plan!$C$13/12)-(Plan!$D$13+IF(Plan!$E$13=$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G186" s="18">
        <f>IF(N(G185)&lt;=0,0,MAX(0,G185*(1+Plan!$C$14/12)-(Plan!$D$14+IF(Plan!$E$14=$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H186" s="18">
        <f>IF(N(H185)&lt;=0,0,MAX(0,H185*(1+Plan!$C$15/12)-(Plan!$D$15+IF(Plan!$E$15=$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I186" s="18">
        <f>IF(N(I185)&lt;=0,0,MAX(0,I185*(1+Plan!$C$16/12)-(Plan!$D$16+IF(Plan!$E$16=$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J186" s="18">
        <f>IF(N(J185)&lt;=0,0,MAX(0,J185*(1+Plan!$C$17/12)-(Plan!$D$17+IF(Plan!$E$17=$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K186" s="18">
        <f>IF(N(K185)&lt;=0,0,MAX(0,K185*(1+Plan!$C$18/12)-(Plan!$D$18+IF(Plan!$E$18=$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c r="L186" s="19">
        <f>MIN(IF(N(B185)&gt;0,Plan!$E$9,999),IF(N(C185)&gt;0,Plan!$E$10,999),IF(N(D185)&gt;0,Plan!$E$11,999),IF(N(E185)&gt;0,Plan!$E$12,999),IF(N(F185)&gt;0,Plan!$E$13,999),IF(N(G185)&gt;0,Plan!$E$14,999),IF(N(H185)&gt;0,Plan!$E$15,999),IF(N(I185)&gt;0,Plan!$E$16,999),IF(N(J185)&gt;0,Plan!$E$17,999),IF(N(K185)&gt;0,Plan!$E$18,999))</f>
        <v/>
      </c>
      <c r="M186" s="18">
        <f>IF(N(B185)&lt;=0,0,MIN(B185*(1+Plan!$C$9/12),Plan!$D$9+IF(Plan!$E$9=$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IF(N(C185)&lt;=0,0,MIN(C185*(1+Plan!$C$10/12),Plan!$D$10+IF(Plan!$E$10=$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IF(N(D185)&lt;=0,0,MIN(D185*(1+Plan!$C$11/12),Plan!$D$11+IF(Plan!$E$11=$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IF(N(E185)&lt;=0,0,MIN(E185*(1+Plan!$C$12/12),Plan!$D$12+IF(Plan!$E$12=$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IF(N(F185)&lt;=0,0,MIN(F185*(1+Plan!$C$13/12),Plan!$D$13+IF(Plan!$E$13=$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IF(N(G185)&lt;=0,0,MIN(G185*(1+Plan!$C$14/12),Plan!$D$14+IF(Plan!$E$14=$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IF(N(H185)&lt;=0,0,MIN(H185*(1+Plan!$C$15/12),Plan!$D$15+IF(Plan!$E$15=$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IF(N(I185)&lt;=0,0,MIN(I185*(1+Plan!$C$16/12),Plan!$D$16+IF(Plan!$E$16=$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IF(N(J185)&lt;=0,0,MIN(J185*(1+Plan!$C$17/12),Plan!$D$17+IF(Plan!$E$17=$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IF(N(K185)&lt;=0,0,MIN(K185*(1+Plan!$C$18/12),Plan!$D$18+IF(Plan!$E$18=$L186,Plan!$B$5+IF(AND(N(Plan!$B$9)&gt;0,N(B185)&lt;=0),Plan!$D$9,0)+IF(AND(N(Plan!$B$10)&gt;0,N(C185)&lt;=0),Plan!$D$10,0)+IF(AND(N(Plan!$B$11)&gt;0,N(D185)&lt;=0),Plan!$D$11,0)+IF(AND(N(Plan!$B$12)&gt;0,N(E185)&lt;=0),Plan!$D$12,0)+IF(AND(N(Plan!$B$13)&gt;0,N(F185)&lt;=0),Plan!$D$13,0)+IF(AND(N(Plan!$B$14)&gt;0,N(G185)&lt;=0),Plan!$D$14,0)+IF(AND(N(Plan!$B$15)&gt;0,N(H185)&lt;=0),Plan!$D$15,0)+IF(AND(N(Plan!$B$16)&gt;0,N(I185)&lt;=0),Plan!$D$16,0)+IF(AND(N(Plan!$B$17)&gt;0,N(J185)&lt;=0),Plan!$D$17,0)+IF(AND(N(Plan!$B$18)&gt;0,N(K185)&lt;=0),Plan!$D$18,0),0)))</f>
        <v/>
      </c>
    </row>
    <row r="187">
      <c r="A187" s="17" t="n">
        <v>183</v>
      </c>
      <c r="B187" s="18">
        <f>IF(N(B186)&lt;=0,0,MAX(0,B186*(1+Plan!$C$9/12)-(Plan!$D$9+IF(Plan!$E$9=$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C187" s="18">
        <f>IF(N(C186)&lt;=0,0,MAX(0,C186*(1+Plan!$C$10/12)-(Plan!$D$10+IF(Plan!$E$10=$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D187" s="18">
        <f>IF(N(D186)&lt;=0,0,MAX(0,D186*(1+Plan!$C$11/12)-(Plan!$D$11+IF(Plan!$E$11=$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E187" s="18">
        <f>IF(N(E186)&lt;=0,0,MAX(0,E186*(1+Plan!$C$12/12)-(Plan!$D$12+IF(Plan!$E$12=$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F187" s="18">
        <f>IF(N(F186)&lt;=0,0,MAX(0,F186*(1+Plan!$C$13/12)-(Plan!$D$13+IF(Plan!$E$13=$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G187" s="18">
        <f>IF(N(G186)&lt;=0,0,MAX(0,G186*(1+Plan!$C$14/12)-(Plan!$D$14+IF(Plan!$E$14=$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H187" s="18">
        <f>IF(N(H186)&lt;=0,0,MAX(0,H186*(1+Plan!$C$15/12)-(Plan!$D$15+IF(Plan!$E$15=$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I187" s="18">
        <f>IF(N(I186)&lt;=0,0,MAX(0,I186*(1+Plan!$C$16/12)-(Plan!$D$16+IF(Plan!$E$16=$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J187" s="18">
        <f>IF(N(J186)&lt;=0,0,MAX(0,J186*(1+Plan!$C$17/12)-(Plan!$D$17+IF(Plan!$E$17=$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K187" s="18">
        <f>IF(N(K186)&lt;=0,0,MAX(0,K186*(1+Plan!$C$18/12)-(Plan!$D$18+IF(Plan!$E$18=$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c r="L187" s="19">
        <f>MIN(IF(N(B186)&gt;0,Plan!$E$9,999),IF(N(C186)&gt;0,Plan!$E$10,999),IF(N(D186)&gt;0,Plan!$E$11,999),IF(N(E186)&gt;0,Plan!$E$12,999),IF(N(F186)&gt;0,Plan!$E$13,999),IF(N(G186)&gt;0,Plan!$E$14,999),IF(N(H186)&gt;0,Plan!$E$15,999),IF(N(I186)&gt;0,Plan!$E$16,999),IF(N(J186)&gt;0,Plan!$E$17,999),IF(N(K186)&gt;0,Plan!$E$18,999))</f>
        <v/>
      </c>
      <c r="M187" s="18">
        <f>IF(N(B186)&lt;=0,0,MIN(B186*(1+Plan!$C$9/12),Plan!$D$9+IF(Plan!$E$9=$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IF(N(C186)&lt;=0,0,MIN(C186*(1+Plan!$C$10/12),Plan!$D$10+IF(Plan!$E$10=$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IF(N(D186)&lt;=0,0,MIN(D186*(1+Plan!$C$11/12),Plan!$D$11+IF(Plan!$E$11=$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IF(N(E186)&lt;=0,0,MIN(E186*(1+Plan!$C$12/12),Plan!$D$12+IF(Plan!$E$12=$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IF(N(F186)&lt;=0,0,MIN(F186*(1+Plan!$C$13/12),Plan!$D$13+IF(Plan!$E$13=$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IF(N(G186)&lt;=0,0,MIN(G186*(1+Plan!$C$14/12),Plan!$D$14+IF(Plan!$E$14=$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IF(N(H186)&lt;=0,0,MIN(H186*(1+Plan!$C$15/12),Plan!$D$15+IF(Plan!$E$15=$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IF(N(I186)&lt;=0,0,MIN(I186*(1+Plan!$C$16/12),Plan!$D$16+IF(Plan!$E$16=$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IF(N(J186)&lt;=0,0,MIN(J186*(1+Plan!$C$17/12),Plan!$D$17+IF(Plan!$E$17=$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IF(N(K186)&lt;=0,0,MIN(K186*(1+Plan!$C$18/12),Plan!$D$18+IF(Plan!$E$18=$L187,Plan!$B$5+IF(AND(N(Plan!$B$9)&gt;0,N(B186)&lt;=0),Plan!$D$9,0)+IF(AND(N(Plan!$B$10)&gt;0,N(C186)&lt;=0),Plan!$D$10,0)+IF(AND(N(Plan!$B$11)&gt;0,N(D186)&lt;=0),Plan!$D$11,0)+IF(AND(N(Plan!$B$12)&gt;0,N(E186)&lt;=0),Plan!$D$12,0)+IF(AND(N(Plan!$B$13)&gt;0,N(F186)&lt;=0),Plan!$D$13,0)+IF(AND(N(Plan!$B$14)&gt;0,N(G186)&lt;=0),Plan!$D$14,0)+IF(AND(N(Plan!$B$15)&gt;0,N(H186)&lt;=0),Plan!$D$15,0)+IF(AND(N(Plan!$B$16)&gt;0,N(I186)&lt;=0),Plan!$D$16,0)+IF(AND(N(Plan!$B$17)&gt;0,N(J186)&lt;=0),Plan!$D$17,0)+IF(AND(N(Plan!$B$18)&gt;0,N(K186)&lt;=0),Plan!$D$18,0),0)))</f>
        <v/>
      </c>
    </row>
    <row r="188">
      <c r="A188" s="17" t="n">
        <v>184</v>
      </c>
      <c r="B188" s="18">
        <f>IF(N(B187)&lt;=0,0,MAX(0,B187*(1+Plan!$C$9/12)-(Plan!$D$9+IF(Plan!$E$9=$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C188" s="18">
        <f>IF(N(C187)&lt;=0,0,MAX(0,C187*(1+Plan!$C$10/12)-(Plan!$D$10+IF(Plan!$E$10=$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D188" s="18">
        <f>IF(N(D187)&lt;=0,0,MAX(0,D187*(1+Plan!$C$11/12)-(Plan!$D$11+IF(Plan!$E$11=$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E188" s="18">
        <f>IF(N(E187)&lt;=0,0,MAX(0,E187*(1+Plan!$C$12/12)-(Plan!$D$12+IF(Plan!$E$12=$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F188" s="18">
        <f>IF(N(F187)&lt;=0,0,MAX(0,F187*(1+Plan!$C$13/12)-(Plan!$D$13+IF(Plan!$E$13=$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G188" s="18">
        <f>IF(N(G187)&lt;=0,0,MAX(0,G187*(1+Plan!$C$14/12)-(Plan!$D$14+IF(Plan!$E$14=$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H188" s="18">
        <f>IF(N(H187)&lt;=0,0,MAX(0,H187*(1+Plan!$C$15/12)-(Plan!$D$15+IF(Plan!$E$15=$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I188" s="18">
        <f>IF(N(I187)&lt;=0,0,MAX(0,I187*(1+Plan!$C$16/12)-(Plan!$D$16+IF(Plan!$E$16=$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J188" s="18">
        <f>IF(N(J187)&lt;=0,0,MAX(0,J187*(1+Plan!$C$17/12)-(Plan!$D$17+IF(Plan!$E$17=$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K188" s="18">
        <f>IF(N(K187)&lt;=0,0,MAX(0,K187*(1+Plan!$C$18/12)-(Plan!$D$18+IF(Plan!$E$18=$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c r="L188" s="19">
        <f>MIN(IF(N(B187)&gt;0,Plan!$E$9,999),IF(N(C187)&gt;0,Plan!$E$10,999),IF(N(D187)&gt;0,Plan!$E$11,999),IF(N(E187)&gt;0,Plan!$E$12,999),IF(N(F187)&gt;0,Plan!$E$13,999),IF(N(G187)&gt;0,Plan!$E$14,999),IF(N(H187)&gt;0,Plan!$E$15,999),IF(N(I187)&gt;0,Plan!$E$16,999),IF(N(J187)&gt;0,Plan!$E$17,999),IF(N(K187)&gt;0,Plan!$E$18,999))</f>
        <v/>
      </c>
      <c r="M188" s="18">
        <f>IF(N(B187)&lt;=0,0,MIN(B187*(1+Plan!$C$9/12),Plan!$D$9+IF(Plan!$E$9=$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IF(N(C187)&lt;=0,0,MIN(C187*(1+Plan!$C$10/12),Plan!$D$10+IF(Plan!$E$10=$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IF(N(D187)&lt;=0,0,MIN(D187*(1+Plan!$C$11/12),Plan!$D$11+IF(Plan!$E$11=$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IF(N(E187)&lt;=0,0,MIN(E187*(1+Plan!$C$12/12),Plan!$D$12+IF(Plan!$E$12=$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IF(N(F187)&lt;=0,0,MIN(F187*(1+Plan!$C$13/12),Plan!$D$13+IF(Plan!$E$13=$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IF(N(G187)&lt;=0,0,MIN(G187*(1+Plan!$C$14/12),Plan!$D$14+IF(Plan!$E$14=$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IF(N(H187)&lt;=0,0,MIN(H187*(1+Plan!$C$15/12),Plan!$D$15+IF(Plan!$E$15=$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IF(N(I187)&lt;=0,0,MIN(I187*(1+Plan!$C$16/12),Plan!$D$16+IF(Plan!$E$16=$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IF(N(J187)&lt;=0,0,MIN(J187*(1+Plan!$C$17/12),Plan!$D$17+IF(Plan!$E$17=$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IF(N(K187)&lt;=0,0,MIN(K187*(1+Plan!$C$18/12),Plan!$D$18+IF(Plan!$E$18=$L188,Plan!$B$5+IF(AND(N(Plan!$B$9)&gt;0,N(B187)&lt;=0),Plan!$D$9,0)+IF(AND(N(Plan!$B$10)&gt;0,N(C187)&lt;=0),Plan!$D$10,0)+IF(AND(N(Plan!$B$11)&gt;0,N(D187)&lt;=0),Plan!$D$11,0)+IF(AND(N(Plan!$B$12)&gt;0,N(E187)&lt;=0),Plan!$D$12,0)+IF(AND(N(Plan!$B$13)&gt;0,N(F187)&lt;=0),Plan!$D$13,0)+IF(AND(N(Plan!$B$14)&gt;0,N(G187)&lt;=0),Plan!$D$14,0)+IF(AND(N(Plan!$B$15)&gt;0,N(H187)&lt;=0),Plan!$D$15,0)+IF(AND(N(Plan!$B$16)&gt;0,N(I187)&lt;=0),Plan!$D$16,0)+IF(AND(N(Plan!$B$17)&gt;0,N(J187)&lt;=0),Plan!$D$17,0)+IF(AND(N(Plan!$B$18)&gt;0,N(K187)&lt;=0),Plan!$D$18,0),0)))</f>
        <v/>
      </c>
    </row>
    <row r="189">
      <c r="A189" s="17" t="n">
        <v>185</v>
      </c>
      <c r="B189" s="18">
        <f>IF(N(B188)&lt;=0,0,MAX(0,B188*(1+Plan!$C$9/12)-(Plan!$D$9+IF(Plan!$E$9=$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C189" s="18">
        <f>IF(N(C188)&lt;=0,0,MAX(0,C188*(1+Plan!$C$10/12)-(Plan!$D$10+IF(Plan!$E$10=$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D189" s="18">
        <f>IF(N(D188)&lt;=0,0,MAX(0,D188*(1+Plan!$C$11/12)-(Plan!$D$11+IF(Plan!$E$11=$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E189" s="18">
        <f>IF(N(E188)&lt;=0,0,MAX(0,E188*(1+Plan!$C$12/12)-(Plan!$D$12+IF(Plan!$E$12=$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F189" s="18">
        <f>IF(N(F188)&lt;=0,0,MAX(0,F188*(1+Plan!$C$13/12)-(Plan!$D$13+IF(Plan!$E$13=$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G189" s="18">
        <f>IF(N(G188)&lt;=0,0,MAX(0,G188*(1+Plan!$C$14/12)-(Plan!$D$14+IF(Plan!$E$14=$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H189" s="18">
        <f>IF(N(H188)&lt;=0,0,MAX(0,H188*(1+Plan!$C$15/12)-(Plan!$D$15+IF(Plan!$E$15=$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I189" s="18">
        <f>IF(N(I188)&lt;=0,0,MAX(0,I188*(1+Plan!$C$16/12)-(Plan!$D$16+IF(Plan!$E$16=$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J189" s="18">
        <f>IF(N(J188)&lt;=0,0,MAX(0,J188*(1+Plan!$C$17/12)-(Plan!$D$17+IF(Plan!$E$17=$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K189" s="18">
        <f>IF(N(K188)&lt;=0,0,MAX(0,K188*(1+Plan!$C$18/12)-(Plan!$D$18+IF(Plan!$E$18=$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c r="L189" s="19">
        <f>MIN(IF(N(B188)&gt;0,Plan!$E$9,999),IF(N(C188)&gt;0,Plan!$E$10,999),IF(N(D188)&gt;0,Plan!$E$11,999),IF(N(E188)&gt;0,Plan!$E$12,999),IF(N(F188)&gt;0,Plan!$E$13,999),IF(N(G188)&gt;0,Plan!$E$14,999),IF(N(H188)&gt;0,Plan!$E$15,999),IF(N(I188)&gt;0,Plan!$E$16,999),IF(N(J188)&gt;0,Plan!$E$17,999),IF(N(K188)&gt;0,Plan!$E$18,999))</f>
        <v/>
      </c>
      <c r="M189" s="18">
        <f>IF(N(B188)&lt;=0,0,MIN(B188*(1+Plan!$C$9/12),Plan!$D$9+IF(Plan!$E$9=$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IF(N(C188)&lt;=0,0,MIN(C188*(1+Plan!$C$10/12),Plan!$D$10+IF(Plan!$E$10=$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IF(N(D188)&lt;=0,0,MIN(D188*(1+Plan!$C$11/12),Plan!$D$11+IF(Plan!$E$11=$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IF(N(E188)&lt;=0,0,MIN(E188*(1+Plan!$C$12/12),Plan!$D$12+IF(Plan!$E$12=$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IF(N(F188)&lt;=0,0,MIN(F188*(1+Plan!$C$13/12),Plan!$D$13+IF(Plan!$E$13=$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IF(N(G188)&lt;=0,0,MIN(G188*(1+Plan!$C$14/12),Plan!$D$14+IF(Plan!$E$14=$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IF(N(H188)&lt;=0,0,MIN(H188*(1+Plan!$C$15/12),Plan!$D$15+IF(Plan!$E$15=$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IF(N(I188)&lt;=0,0,MIN(I188*(1+Plan!$C$16/12),Plan!$D$16+IF(Plan!$E$16=$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IF(N(J188)&lt;=0,0,MIN(J188*(1+Plan!$C$17/12),Plan!$D$17+IF(Plan!$E$17=$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IF(N(K188)&lt;=0,0,MIN(K188*(1+Plan!$C$18/12),Plan!$D$18+IF(Plan!$E$18=$L189,Plan!$B$5+IF(AND(N(Plan!$B$9)&gt;0,N(B188)&lt;=0),Plan!$D$9,0)+IF(AND(N(Plan!$B$10)&gt;0,N(C188)&lt;=0),Plan!$D$10,0)+IF(AND(N(Plan!$B$11)&gt;0,N(D188)&lt;=0),Plan!$D$11,0)+IF(AND(N(Plan!$B$12)&gt;0,N(E188)&lt;=0),Plan!$D$12,0)+IF(AND(N(Plan!$B$13)&gt;0,N(F188)&lt;=0),Plan!$D$13,0)+IF(AND(N(Plan!$B$14)&gt;0,N(G188)&lt;=0),Plan!$D$14,0)+IF(AND(N(Plan!$B$15)&gt;0,N(H188)&lt;=0),Plan!$D$15,0)+IF(AND(N(Plan!$B$16)&gt;0,N(I188)&lt;=0),Plan!$D$16,0)+IF(AND(N(Plan!$B$17)&gt;0,N(J188)&lt;=0),Plan!$D$17,0)+IF(AND(N(Plan!$B$18)&gt;0,N(K188)&lt;=0),Plan!$D$18,0),0)))</f>
        <v/>
      </c>
    </row>
    <row r="190">
      <c r="A190" s="17" t="n">
        <v>186</v>
      </c>
      <c r="B190" s="18">
        <f>IF(N(B189)&lt;=0,0,MAX(0,B189*(1+Plan!$C$9/12)-(Plan!$D$9+IF(Plan!$E$9=$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C190" s="18">
        <f>IF(N(C189)&lt;=0,0,MAX(0,C189*(1+Plan!$C$10/12)-(Plan!$D$10+IF(Plan!$E$10=$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D190" s="18">
        <f>IF(N(D189)&lt;=0,0,MAX(0,D189*(1+Plan!$C$11/12)-(Plan!$D$11+IF(Plan!$E$11=$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E190" s="18">
        <f>IF(N(E189)&lt;=0,0,MAX(0,E189*(1+Plan!$C$12/12)-(Plan!$D$12+IF(Plan!$E$12=$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F190" s="18">
        <f>IF(N(F189)&lt;=0,0,MAX(0,F189*(1+Plan!$C$13/12)-(Plan!$D$13+IF(Plan!$E$13=$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G190" s="18">
        <f>IF(N(G189)&lt;=0,0,MAX(0,G189*(1+Plan!$C$14/12)-(Plan!$D$14+IF(Plan!$E$14=$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H190" s="18">
        <f>IF(N(H189)&lt;=0,0,MAX(0,H189*(1+Plan!$C$15/12)-(Plan!$D$15+IF(Plan!$E$15=$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I190" s="18">
        <f>IF(N(I189)&lt;=0,0,MAX(0,I189*(1+Plan!$C$16/12)-(Plan!$D$16+IF(Plan!$E$16=$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J190" s="18">
        <f>IF(N(J189)&lt;=0,0,MAX(0,J189*(1+Plan!$C$17/12)-(Plan!$D$17+IF(Plan!$E$17=$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K190" s="18">
        <f>IF(N(K189)&lt;=0,0,MAX(0,K189*(1+Plan!$C$18/12)-(Plan!$D$18+IF(Plan!$E$18=$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c r="L190" s="19">
        <f>MIN(IF(N(B189)&gt;0,Plan!$E$9,999),IF(N(C189)&gt;0,Plan!$E$10,999),IF(N(D189)&gt;0,Plan!$E$11,999),IF(N(E189)&gt;0,Plan!$E$12,999),IF(N(F189)&gt;0,Plan!$E$13,999),IF(N(G189)&gt;0,Plan!$E$14,999),IF(N(H189)&gt;0,Plan!$E$15,999),IF(N(I189)&gt;0,Plan!$E$16,999),IF(N(J189)&gt;0,Plan!$E$17,999),IF(N(K189)&gt;0,Plan!$E$18,999))</f>
        <v/>
      </c>
      <c r="M190" s="18">
        <f>IF(N(B189)&lt;=0,0,MIN(B189*(1+Plan!$C$9/12),Plan!$D$9+IF(Plan!$E$9=$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IF(N(C189)&lt;=0,0,MIN(C189*(1+Plan!$C$10/12),Plan!$D$10+IF(Plan!$E$10=$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IF(N(D189)&lt;=0,0,MIN(D189*(1+Plan!$C$11/12),Plan!$D$11+IF(Plan!$E$11=$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IF(N(E189)&lt;=0,0,MIN(E189*(1+Plan!$C$12/12),Plan!$D$12+IF(Plan!$E$12=$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IF(N(F189)&lt;=0,0,MIN(F189*(1+Plan!$C$13/12),Plan!$D$13+IF(Plan!$E$13=$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IF(N(G189)&lt;=0,0,MIN(G189*(1+Plan!$C$14/12),Plan!$D$14+IF(Plan!$E$14=$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IF(N(H189)&lt;=0,0,MIN(H189*(1+Plan!$C$15/12),Plan!$D$15+IF(Plan!$E$15=$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IF(N(I189)&lt;=0,0,MIN(I189*(1+Plan!$C$16/12),Plan!$D$16+IF(Plan!$E$16=$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IF(N(J189)&lt;=0,0,MIN(J189*(1+Plan!$C$17/12),Plan!$D$17+IF(Plan!$E$17=$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IF(N(K189)&lt;=0,0,MIN(K189*(1+Plan!$C$18/12),Plan!$D$18+IF(Plan!$E$18=$L190,Plan!$B$5+IF(AND(N(Plan!$B$9)&gt;0,N(B189)&lt;=0),Plan!$D$9,0)+IF(AND(N(Plan!$B$10)&gt;0,N(C189)&lt;=0),Plan!$D$10,0)+IF(AND(N(Plan!$B$11)&gt;0,N(D189)&lt;=0),Plan!$D$11,0)+IF(AND(N(Plan!$B$12)&gt;0,N(E189)&lt;=0),Plan!$D$12,0)+IF(AND(N(Plan!$B$13)&gt;0,N(F189)&lt;=0),Plan!$D$13,0)+IF(AND(N(Plan!$B$14)&gt;0,N(G189)&lt;=0),Plan!$D$14,0)+IF(AND(N(Plan!$B$15)&gt;0,N(H189)&lt;=0),Plan!$D$15,0)+IF(AND(N(Plan!$B$16)&gt;0,N(I189)&lt;=0),Plan!$D$16,0)+IF(AND(N(Plan!$B$17)&gt;0,N(J189)&lt;=0),Plan!$D$17,0)+IF(AND(N(Plan!$B$18)&gt;0,N(K189)&lt;=0),Plan!$D$18,0),0)))</f>
        <v/>
      </c>
    </row>
    <row r="191">
      <c r="A191" s="17" t="n">
        <v>187</v>
      </c>
      <c r="B191" s="18">
        <f>IF(N(B190)&lt;=0,0,MAX(0,B190*(1+Plan!$C$9/12)-(Plan!$D$9+IF(Plan!$E$9=$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C191" s="18">
        <f>IF(N(C190)&lt;=0,0,MAX(0,C190*(1+Plan!$C$10/12)-(Plan!$D$10+IF(Plan!$E$10=$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D191" s="18">
        <f>IF(N(D190)&lt;=0,0,MAX(0,D190*(1+Plan!$C$11/12)-(Plan!$D$11+IF(Plan!$E$11=$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E191" s="18">
        <f>IF(N(E190)&lt;=0,0,MAX(0,E190*(1+Plan!$C$12/12)-(Plan!$D$12+IF(Plan!$E$12=$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F191" s="18">
        <f>IF(N(F190)&lt;=0,0,MAX(0,F190*(1+Plan!$C$13/12)-(Plan!$D$13+IF(Plan!$E$13=$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G191" s="18">
        <f>IF(N(G190)&lt;=0,0,MAX(0,G190*(1+Plan!$C$14/12)-(Plan!$D$14+IF(Plan!$E$14=$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H191" s="18">
        <f>IF(N(H190)&lt;=0,0,MAX(0,H190*(1+Plan!$C$15/12)-(Plan!$D$15+IF(Plan!$E$15=$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I191" s="18">
        <f>IF(N(I190)&lt;=0,0,MAX(0,I190*(1+Plan!$C$16/12)-(Plan!$D$16+IF(Plan!$E$16=$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J191" s="18">
        <f>IF(N(J190)&lt;=0,0,MAX(0,J190*(1+Plan!$C$17/12)-(Plan!$D$17+IF(Plan!$E$17=$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K191" s="18">
        <f>IF(N(K190)&lt;=0,0,MAX(0,K190*(1+Plan!$C$18/12)-(Plan!$D$18+IF(Plan!$E$18=$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c r="L191" s="19">
        <f>MIN(IF(N(B190)&gt;0,Plan!$E$9,999),IF(N(C190)&gt;0,Plan!$E$10,999),IF(N(D190)&gt;0,Plan!$E$11,999),IF(N(E190)&gt;0,Plan!$E$12,999),IF(N(F190)&gt;0,Plan!$E$13,999),IF(N(G190)&gt;0,Plan!$E$14,999),IF(N(H190)&gt;0,Plan!$E$15,999),IF(N(I190)&gt;0,Plan!$E$16,999),IF(N(J190)&gt;0,Plan!$E$17,999),IF(N(K190)&gt;0,Plan!$E$18,999))</f>
        <v/>
      </c>
      <c r="M191" s="18">
        <f>IF(N(B190)&lt;=0,0,MIN(B190*(1+Plan!$C$9/12),Plan!$D$9+IF(Plan!$E$9=$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IF(N(C190)&lt;=0,0,MIN(C190*(1+Plan!$C$10/12),Plan!$D$10+IF(Plan!$E$10=$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IF(N(D190)&lt;=0,0,MIN(D190*(1+Plan!$C$11/12),Plan!$D$11+IF(Plan!$E$11=$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IF(N(E190)&lt;=0,0,MIN(E190*(1+Plan!$C$12/12),Plan!$D$12+IF(Plan!$E$12=$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IF(N(F190)&lt;=0,0,MIN(F190*(1+Plan!$C$13/12),Plan!$D$13+IF(Plan!$E$13=$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IF(N(G190)&lt;=0,0,MIN(G190*(1+Plan!$C$14/12),Plan!$D$14+IF(Plan!$E$14=$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IF(N(H190)&lt;=0,0,MIN(H190*(1+Plan!$C$15/12),Plan!$D$15+IF(Plan!$E$15=$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IF(N(I190)&lt;=0,0,MIN(I190*(1+Plan!$C$16/12),Plan!$D$16+IF(Plan!$E$16=$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IF(N(J190)&lt;=0,0,MIN(J190*(1+Plan!$C$17/12),Plan!$D$17+IF(Plan!$E$17=$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IF(N(K190)&lt;=0,0,MIN(K190*(1+Plan!$C$18/12),Plan!$D$18+IF(Plan!$E$18=$L191,Plan!$B$5+IF(AND(N(Plan!$B$9)&gt;0,N(B190)&lt;=0),Plan!$D$9,0)+IF(AND(N(Plan!$B$10)&gt;0,N(C190)&lt;=0),Plan!$D$10,0)+IF(AND(N(Plan!$B$11)&gt;0,N(D190)&lt;=0),Plan!$D$11,0)+IF(AND(N(Plan!$B$12)&gt;0,N(E190)&lt;=0),Plan!$D$12,0)+IF(AND(N(Plan!$B$13)&gt;0,N(F190)&lt;=0),Plan!$D$13,0)+IF(AND(N(Plan!$B$14)&gt;0,N(G190)&lt;=0),Plan!$D$14,0)+IF(AND(N(Plan!$B$15)&gt;0,N(H190)&lt;=0),Plan!$D$15,0)+IF(AND(N(Plan!$B$16)&gt;0,N(I190)&lt;=0),Plan!$D$16,0)+IF(AND(N(Plan!$B$17)&gt;0,N(J190)&lt;=0),Plan!$D$17,0)+IF(AND(N(Plan!$B$18)&gt;0,N(K190)&lt;=0),Plan!$D$18,0),0)))</f>
        <v/>
      </c>
    </row>
    <row r="192">
      <c r="A192" s="17" t="n">
        <v>188</v>
      </c>
      <c r="B192" s="18">
        <f>IF(N(B191)&lt;=0,0,MAX(0,B191*(1+Plan!$C$9/12)-(Plan!$D$9+IF(Plan!$E$9=$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C192" s="18">
        <f>IF(N(C191)&lt;=0,0,MAX(0,C191*(1+Plan!$C$10/12)-(Plan!$D$10+IF(Plan!$E$10=$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D192" s="18">
        <f>IF(N(D191)&lt;=0,0,MAX(0,D191*(1+Plan!$C$11/12)-(Plan!$D$11+IF(Plan!$E$11=$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E192" s="18">
        <f>IF(N(E191)&lt;=0,0,MAX(0,E191*(1+Plan!$C$12/12)-(Plan!$D$12+IF(Plan!$E$12=$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F192" s="18">
        <f>IF(N(F191)&lt;=0,0,MAX(0,F191*(1+Plan!$C$13/12)-(Plan!$D$13+IF(Plan!$E$13=$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G192" s="18">
        <f>IF(N(G191)&lt;=0,0,MAX(0,G191*(1+Plan!$C$14/12)-(Plan!$D$14+IF(Plan!$E$14=$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H192" s="18">
        <f>IF(N(H191)&lt;=0,0,MAX(0,H191*(1+Plan!$C$15/12)-(Plan!$D$15+IF(Plan!$E$15=$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I192" s="18">
        <f>IF(N(I191)&lt;=0,0,MAX(0,I191*(1+Plan!$C$16/12)-(Plan!$D$16+IF(Plan!$E$16=$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J192" s="18">
        <f>IF(N(J191)&lt;=0,0,MAX(0,J191*(1+Plan!$C$17/12)-(Plan!$D$17+IF(Plan!$E$17=$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K192" s="18">
        <f>IF(N(K191)&lt;=0,0,MAX(0,K191*(1+Plan!$C$18/12)-(Plan!$D$18+IF(Plan!$E$18=$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c r="L192" s="19">
        <f>MIN(IF(N(B191)&gt;0,Plan!$E$9,999),IF(N(C191)&gt;0,Plan!$E$10,999),IF(N(D191)&gt;0,Plan!$E$11,999),IF(N(E191)&gt;0,Plan!$E$12,999),IF(N(F191)&gt;0,Plan!$E$13,999),IF(N(G191)&gt;0,Plan!$E$14,999),IF(N(H191)&gt;0,Plan!$E$15,999),IF(N(I191)&gt;0,Plan!$E$16,999),IF(N(J191)&gt;0,Plan!$E$17,999),IF(N(K191)&gt;0,Plan!$E$18,999))</f>
        <v/>
      </c>
      <c r="M192" s="18">
        <f>IF(N(B191)&lt;=0,0,MIN(B191*(1+Plan!$C$9/12),Plan!$D$9+IF(Plan!$E$9=$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IF(N(C191)&lt;=0,0,MIN(C191*(1+Plan!$C$10/12),Plan!$D$10+IF(Plan!$E$10=$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IF(N(D191)&lt;=0,0,MIN(D191*(1+Plan!$C$11/12),Plan!$D$11+IF(Plan!$E$11=$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IF(N(E191)&lt;=0,0,MIN(E191*(1+Plan!$C$12/12),Plan!$D$12+IF(Plan!$E$12=$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IF(N(F191)&lt;=0,0,MIN(F191*(1+Plan!$C$13/12),Plan!$D$13+IF(Plan!$E$13=$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IF(N(G191)&lt;=0,0,MIN(G191*(1+Plan!$C$14/12),Plan!$D$14+IF(Plan!$E$14=$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IF(N(H191)&lt;=0,0,MIN(H191*(1+Plan!$C$15/12),Plan!$D$15+IF(Plan!$E$15=$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IF(N(I191)&lt;=0,0,MIN(I191*(1+Plan!$C$16/12),Plan!$D$16+IF(Plan!$E$16=$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IF(N(J191)&lt;=0,0,MIN(J191*(1+Plan!$C$17/12),Plan!$D$17+IF(Plan!$E$17=$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IF(N(K191)&lt;=0,0,MIN(K191*(1+Plan!$C$18/12),Plan!$D$18+IF(Plan!$E$18=$L192,Plan!$B$5+IF(AND(N(Plan!$B$9)&gt;0,N(B191)&lt;=0),Plan!$D$9,0)+IF(AND(N(Plan!$B$10)&gt;0,N(C191)&lt;=0),Plan!$D$10,0)+IF(AND(N(Plan!$B$11)&gt;0,N(D191)&lt;=0),Plan!$D$11,0)+IF(AND(N(Plan!$B$12)&gt;0,N(E191)&lt;=0),Plan!$D$12,0)+IF(AND(N(Plan!$B$13)&gt;0,N(F191)&lt;=0),Plan!$D$13,0)+IF(AND(N(Plan!$B$14)&gt;0,N(G191)&lt;=0),Plan!$D$14,0)+IF(AND(N(Plan!$B$15)&gt;0,N(H191)&lt;=0),Plan!$D$15,0)+IF(AND(N(Plan!$B$16)&gt;0,N(I191)&lt;=0),Plan!$D$16,0)+IF(AND(N(Plan!$B$17)&gt;0,N(J191)&lt;=0),Plan!$D$17,0)+IF(AND(N(Plan!$B$18)&gt;0,N(K191)&lt;=0),Plan!$D$18,0),0)))</f>
        <v/>
      </c>
    </row>
    <row r="193">
      <c r="A193" s="17" t="n">
        <v>189</v>
      </c>
      <c r="B193" s="18">
        <f>IF(N(B192)&lt;=0,0,MAX(0,B192*(1+Plan!$C$9/12)-(Plan!$D$9+IF(Plan!$E$9=$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C193" s="18">
        <f>IF(N(C192)&lt;=0,0,MAX(0,C192*(1+Plan!$C$10/12)-(Plan!$D$10+IF(Plan!$E$10=$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D193" s="18">
        <f>IF(N(D192)&lt;=0,0,MAX(0,D192*(1+Plan!$C$11/12)-(Plan!$D$11+IF(Plan!$E$11=$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E193" s="18">
        <f>IF(N(E192)&lt;=0,0,MAX(0,E192*(1+Plan!$C$12/12)-(Plan!$D$12+IF(Plan!$E$12=$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F193" s="18">
        <f>IF(N(F192)&lt;=0,0,MAX(0,F192*(1+Plan!$C$13/12)-(Plan!$D$13+IF(Plan!$E$13=$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G193" s="18">
        <f>IF(N(G192)&lt;=0,0,MAX(0,G192*(1+Plan!$C$14/12)-(Plan!$D$14+IF(Plan!$E$14=$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H193" s="18">
        <f>IF(N(H192)&lt;=0,0,MAX(0,H192*(1+Plan!$C$15/12)-(Plan!$D$15+IF(Plan!$E$15=$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I193" s="18">
        <f>IF(N(I192)&lt;=0,0,MAX(0,I192*(1+Plan!$C$16/12)-(Plan!$D$16+IF(Plan!$E$16=$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J193" s="18">
        <f>IF(N(J192)&lt;=0,0,MAX(0,J192*(1+Plan!$C$17/12)-(Plan!$D$17+IF(Plan!$E$17=$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K193" s="18">
        <f>IF(N(K192)&lt;=0,0,MAX(0,K192*(1+Plan!$C$18/12)-(Plan!$D$18+IF(Plan!$E$18=$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c r="L193" s="19">
        <f>MIN(IF(N(B192)&gt;0,Plan!$E$9,999),IF(N(C192)&gt;0,Plan!$E$10,999),IF(N(D192)&gt;0,Plan!$E$11,999),IF(N(E192)&gt;0,Plan!$E$12,999),IF(N(F192)&gt;0,Plan!$E$13,999),IF(N(G192)&gt;0,Plan!$E$14,999),IF(N(H192)&gt;0,Plan!$E$15,999),IF(N(I192)&gt;0,Plan!$E$16,999),IF(N(J192)&gt;0,Plan!$E$17,999),IF(N(K192)&gt;0,Plan!$E$18,999))</f>
        <v/>
      </c>
      <c r="M193" s="18">
        <f>IF(N(B192)&lt;=0,0,MIN(B192*(1+Plan!$C$9/12),Plan!$D$9+IF(Plan!$E$9=$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IF(N(C192)&lt;=0,0,MIN(C192*(1+Plan!$C$10/12),Plan!$D$10+IF(Plan!$E$10=$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IF(N(D192)&lt;=0,0,MIN(D192*(1+Plan!$C$11/12),Plan!$D$11+IF(Plan!$E$11=$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IF(N(E192)&lt;=0,0,MIN(E192*(1+Plan!$C$12/12),Plan!$D$12+IF(Plan!$E$12=$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IF(N(F192)&lt;=0,0,MIN(F192*(1+Plan!$C$13/12),Plan!$D$13+IF(Plan!$E$13=$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IF(N(G192)&lt;=0,0,MIN(G192*(1+Plan!$C$14/12),Plan!$D$14+IF(Plan!$E$14=$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IF(N(H192)&lt;=0,0,MIN(H192*(1+Plan!$C$15/12),Plan!$D$15+IF(Plan!$E$15=$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IF(N(I192)&lt;=0,0,MIN(I192*(1+Plan!$C$16/12),Plan!$D$16+IF(Plan!$E$16=$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IF(N(J192)&lt;=0,0,MIN(J192*(1+Plan!$C$17/12),Plan!$D$17+IF(Plan!$E$17=$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IF(N(K192)&lt;=0,0,MIN(K192*(1+Plan!$C$18/12),Plan!$D$18+IF(Plan!$E$18=$L193,Plan!$B$5+IF(AND(N(Plan!$B$9)&gt;0,N(B192)&lt;=0),Plan!$D$9,0)+IF(AND(N(Plan!$B$10)&gt;0,N(C192)&lt;=0),Plan!$D$10,0)+IF(AND(N(Plan!$B$11)&gt;0,N(D192)&lt;=0),Plan!$D$11,0)+IF(AND(N(Plan!$B$12)&gt;0,N(E192)&lt;=0),Plan!$D$12,0)+IF(AND(N(Plan!$B$13)&gt;0,N(F192)&lt;=0),Plan!$D$13,0)+IF(AND(N(Plan!$B$14)&gt;0,N(G192)&lt;=0),Plan!$D$14,0)+IF(AND(N(Plan!$B$15)&gt;0,N(H192)&lt;=0),Plan!$D$15,0)+IF(AND(N(Plan!$B$16)&gt;0,N(I192)&lt;=0),Plan!$D$16,0)+IF(AND(N(Plan!$B$17)&gt;0,N(J192)&lt;=0),Plan!$D$17,0)+IF(AND(N(Plan!$B$18)&gt;0,N(K192)&lt;=0),Plan!$D$18,0),0)))</f>
        <v/>
      </c>
    </row>
    <row r="194">
      <c r="A194" s="17" t="n">
        <v>190</v>
      </c>
      <c r="B194" s="18">
        <f>IF(N(B193)&lt;=0,0,MAX(0,B193*(1+Plan!$C$9/12)-(Plan!$D$9+IF(Plan!$E$9=$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C194" s="18">
        <f>IF(N(C193)&lt;=0,0,MAX(0,C193*(1+Plan!$C$10/12)-(Plan!$D$10+IF(Plan!$E$10=$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D194" s="18">
        <f>IF(N(D193)&lt;=0,0,MAX(0,D193*(1+Plan!$C$11/12)-(Plan!$D$11+IF(Plan!$E$11=$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E194" s="18">
        <f>IF(N(E193)&lt;=0,0,MAX(0,E193*(1+Plan!$C$12/12)-(Plan!$D$12+IF(Plan!$E$12=$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F194" s="18">
        <f>IF(N(F193)&lt;=0,0,MAX(0,F193*(1+Plan!$C$13/12)-(Plan!$D$13+IF(Plan!$E$13=$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G194" s="18">
        <f>IF(N(G193)&lt;=0,0,MAX(0,G193*(1+Plan!$C$14/12)-(Plan!$D$14+IF(Plan!$E$14=$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H194" s="18">
        <f>IF(N(H193)&lt;=0,0,MAX(0,H193*(1+Plan!$C$15/12)-(Plan!$D$15+IF(Plan!$E$15=$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I194" s="18">
        <f>IF(N(I193)&lt;=0,0,MAX(0,I193*(1+Plan!$C$16/12)-(Plan!$D$16+IF(Plan!$E$16=$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J194" s="18">
        <f>IF(N(J193)&lt;=0,0,MAX(0,J193*(1+Plan!$C$17/12)-(Plan!$D$17+IF(Plan!$E$17=$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K194" s="18">
        <f>IF(N(K193)&lt;=0,0,MAX(0,K193*(1+Plan!$C$18/12)-(Plan!$D$18+IF(Plan!$E$18=$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c r="L194" s="19">
        <f>MIN(IF(N(B193)&gt;0,Plan!$E$9,999),IF(N(C193)&gt;0,Plan!$E$10,999),IF(N(D193)&gt;0,Plan!$E$11,999),IF(N(E193)&gt;0,Plan!$E$12,999),IF(N(F193)&gt;0,Plan!$E$13,999),IF(N(G193)&gt;0,Plan!$E$14,999),IF(N(H193)&gt;0,Plan!$E$15,999),IF(N(I193)&gt;0,Plan!$E$16,999),IF(N(J193)&gt;0,Plan!$E$17,999),IF(N(K193)&gt;0,Plan!$E$18,999))</f>
        <v/>
      </c>
      <c r="M194" s="18">
        <f>IF(N(B193)&lt;=0,0,MIN(B193*(1+Plan!$C$9/12),Plan!$D$9+IF(Plan!$E$9=$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IF(N(C193)&lt;=0,0,MIN(C193*(1+Plan!$C$10/12),Plan!$D$10+IF(Plan!$E$10=$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IF(N(D193)&lt;=0,0,MIN(D193*(1+Plan!$C$11/12),Plan!$D$11+IF(Plan!$E$11=$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IF(N(E193)&lt;=0,0,MIN(E193*(1+Plan!$C$12/12),Plan!$D$12+IF(Plan!$E$12=$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IF(N(F193)&lt;=0,0,MIN(F193*(1+Plan!$C$13/12),Plan!$D$13+IF(Plan!$E$13=$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IF(N(G193)&lt;=0,0,MIN(G193*(1+Plan!$C$14/12),Plan!$D$14+IF(Plan!$E$14=$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IF(N(H193)&lt;=0,0,MIN(H193*(1+Plan!$C$15/12),Plan!$D$15+IF(Plan!$E$15=$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IF(N(I193)&lt;=0,0,MIN(I193*(1+Plan!$C$16/12),Plan!$D$16+IF(Plan!$E$16=$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IF(N(J193)&lt;=0,0,MIN(J193*(1+Plan!$C$17/12),Plan!$D$17+IF(Plan!$E$17=$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IF(N(K193)&lt;=0,0,MIN(K193*(1+Plan!$C$18/12),Plan!$D$18+IF(Plan!$E$18=$L194,Plan!$B$5+IF(AND(N(Plan!$B$9)&gt;0,N(B193)&lt;=0),Plan!$D$9,0)+IF(AND(N(Plan!$B$10)&gt;0,N(C193)&lt;=0),Plan!$D$10,0)+IF(AND(N(Plan!$B$11)&gt;0,N(D193)&lt;=0),Plan!$D$11,0)+IF(AND(N(Plan!$B$12)&gt;0,N(E193)&lt;=0),Plan!$D$12,0)+IF(AND(N(Plan!$B$13)&gt;0,N(F193)&lt;=0),Plan!$D$13,0)+IF(AND(N(Plan!$B$14)&gt;0,N(G193)&lt;=0),Plan!$D$14,0)+IF(AND(N(Plan!$B$15)&gt;0,N(H193)&lt;=0),Plan!$D$15,0)+IF(AND(N(Plan!$B$16)&gt;0,N(I193)&lt;=0),Plan!$D$16,0)+IF(AND(N(Plan!$B$17)&gt;0,N(J193)&lt;=0),Plan!$D$17,0)+IF(AND(N(Plan!$B$18)&gt;0,N(K193)&lt;=0),Plan!$D$18,0),0)))</f>
        <v/>
      </c>
    </row>
    <row r="195">
      <c r="A195" s="17" t="n">
        <v>191</v>
      </c>
      <c r="B195" s="18">
        <f>IF(N(B194)&lt;=0,0,MAX(0,B194*(1+Plan!$C$9/12)-(Plan!$D$9+IF(Plan!$E$9=$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C195" s="18">
        <f>IF(N(C194)&lt;=0,0,MAX(0,C194*(1+Plan!$C$10/12)-(Plan!$D$10+IF(Plan!$E$10=$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D195" s="18">
        <f>IF(N(D194)&lt;=0,0,MAX(0,D194*(1+Plan!$C$11/12)-(Plan!$D$11+IF(Plan!$E$11=$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E195" s="18">
        <f>IF(N(E194)&lt;=0,0,MAX(0,E194*(1+Plan!$C$12/12)-(Plan!$D$12+IF(Plan!$E$12=$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F195" s="18">
        <f>IF(N(F194)&lt;=0,0,MAX(0,F194*(1+Plan!$C$13/12)-(Plan!$D$13+IF(Plan!$E$13=$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G195" s="18">
        <f>IF(N(G194)&lt;=0,0,MAX(0,G194*(1+Plan!$C$14/12)-(Plan!$D$14+IF(Plan!$E$14=$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H195" s="18">
        <f>IF(N(H194)&lt;=0,0,MAX(0,H194*(1+Plan!$C$15/12)-(Plan!$D$15+IF(Plan!$E$15=$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I195" s="18">
        <f>IF(N(I194)&lt;=0,0,MAX(0,I194*(1+Plan!$C$16/12)-(Plan!$D$16+IF(Plan!$E$16=$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J195" s="18">
        <f>IF(N(J194)&lt;=0,0,MAX(0,J194*(1+Plan!$C$17/12)-(Plan!$D$17+IF(Plan!$E$17=$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K195" s="18">
        <f>IF(N(K194)&lt;=0,0,MAX(0,K194*(1+Plan!$C$18/12)-(Plan!$D$18+IF(Plan!$E$18=$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c r="L195" s="19">
        <f>MIN(IF(N(B194)&gt;0,Plan!$E$9,999),IF(N(C194)&gt;0,Plan!$E$10,999),IF(N(D194)&gt;0,Plan!$E$11,999),IF(N(E194)&gt;0,Plan!$E$12,999),IF(N(F194)&gt;0,Plan!$E$13,999),IF(N(G194)&gt;0,Plan!$E$14,999),IF(N(H194)&gt;0,Plan!$E$15,999),IF(N(I194)&gt;0,Plan!$E$16,999),IF(N(J194)&gt;0,Plan!$E$17,999),IF(N(K194)&gt;0,Plan!$E$18,999))</f>
        <v/>
      </c>
      <c r="M195" s="18">
        <f>IF(N(B194)&lt;=0,0,MIN(B194*(1+Plan!$C$9/12),Plan!$D$9+IF(Plan!$E$9=$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IF(N(C194)&lt;=0,0,MIN(C194*(1+Plan!$C$10/12),Plan!$D$10+IF(Plan!$E$10=$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IF(N(D194)&lt;=0,0,MIN(D194*(1+Plan!$C$11/12),Plan!$D$11+IF(Plan!$E$11=$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IF(N(E194)&lt;=0,0,MIN(E194*(1+Plan!$C$12/12),Plan!$D$12+IF(Plan!$E$12=$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IF(N(F194)&lt;=0,0,MIN(F194*(1+Plan!$C$13/12),Plan!$D$13+IF(Plan!$E$13=$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IF(N(G194)&lt;=0,0,MIN(G194*(1+Plan!$C$14/12),Plan!$D$14+IF(Plan!$E$14=$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IF(N(H194)&lt;=0,0,MIN(H194*(1+Plan!$C$15/12),Plan!$D$15+IF(Plan!$E$15=$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IF(N(I194)&lt;=0,0,MIN(I194*(1+Plan!$C$16/12),Plan!$D$16+IF(Plan!$E$16=$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IF(N(J194)&lt;=0,0,MIN(J194*(1+Plan!$C$17/12),Plan!$D$17+IF(Plan!$E$17=$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IF(N(K194)&lt;=0,0,MIN(K194*(1+Plan!$C$18/12),Plan!$D$18+IF(Plan!$E$18=$L195,Plan!$B$5+IF(AND(N(Plan!$B$9)&gt;0,N(B194)&lt;=0),Plan!$D$9,0)+IF(AND(N(Plan!$B$10)&gt;0,N(C194)&lt;=0),Plan!$D$10,0)+IF(AND(N(Plan!$B$11)&gt;0,N(D194)&lt;=0),Plan!$D$11,0)+IF(AND(N(Plan!$B$12)&gt;0,N(E194)&lt;=0),Plan!$D$12,0)+IF(AND(N(Plan!$B$13)&gt;0,N(F194)&lt;=0),Plan!$D$13,0)+IF(AND(N(Plan!$B$14)&gt;0,N(G194)&lt;=0),Plan!$D$14,0)+IF(AND(N(Plan!$B$15)&gt;0,N(H194)&lt;=0),Plan!$D$15,0)+IF(AND(N(Plan!$B$16)&gt;0,N(I194)&lt;=0),Plan!$D$16,0)+IF(AND(N(Plan!$B$17)&gt;0,N(J194)&lt;=0),Plan!$D$17,0)+IF(AND(N(Plan!$B$18)&gt;0,N(K194)&lt;=0),Plan!$D$18,0),0)))</f>
        <v/>
      </c>
    </row>
    <row r="196">
      <c r="A196" s="17" t="n">
        <v>192</v>
      </c>
      <c r="B196" s="18">
        <f>IF(N(B195)&lt;=0,0,MAX(0,B195*(1+Plan!$C$9/12)-(Plan!$D$9+IF(Plan!$E$9=$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C196" s="18">
        <f>IF(N(C195)&lt;=0,0,MAX(0,C195*(1+Plan!$C$10/12)-(Plan!$D$10+IF(Plan!$E$10=$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D196" s="18">
        <f>IF(N(D195)&lt;=0,0,MAX(0,D195*(1+Plan!$C$11/12)-(Plan!$D$11+IF(Plan!$E$11=$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E196" s="18">
        <f>IF(N(E195)&lt;=0,0,MAX(0,E195*(1+Plan!$C$12/12)-(Plan!$D$12+IF(Plan!$E$12=$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F196" s="18">
        <f>IF(N(F195)&lt;=0,0,MAX(0,F195*(1+Plan!$C$13/12)-(Plan!$D$13+IF(Plan!$E$13=$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G196" s="18">
        <f>IF(N(G195)&lt;=0,0,MAX(0,G195*(1+Plan!$C$14/12)-(Plan!$D$14+IF(Plan!$E$14=$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H196" s="18">
        <f>IF(N(H195)&lt;=0,0,MAX(0,H195*(1+Plan!$C$15/12)-(Plan!$D$15+IF(Plan!$E$15=$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I196" s="18">
        <f>IF(N(I195)&lt;=0,0,MAX(0,I195*(1+Plan!$C$16/12)-(Plan!$D$16+IF(Plan!$E$16=$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J196" s="18">
        <f>IF(N(J195)&lt;=0,0,MAX(0,J195*(1+Plan!$C$17/12)-(Plan!$D$17+IF(Plan!$E$17=$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K196" s="18">
        <f>IF(N(K195)&lt;=0,0,MAX(0,K195*(1+Plan!$C$18/12)-(Plan!$D$18+IF(Plan!$E$18=$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c r="L196" s="19">
        <f>MIN(IF(N(B195)&gt;0,Plan!$E$9,999),IF(N(C195)&gt;0,Plan!$E$10,999),IF(N(D195)&gt;0,Plan!$E$11,999),IF(N(E195)&gt;0,Plan!$E$12,999),IF(N(F195)&gt;0,Plan!$E$13,999),IF(N(G195)&gt;0,Plan!$E$14,999),IF(N(H195)&gt;0,Plan!$E$15,999),IF(N(I195)&gt;0,Plan!$E$16,999),IF(N(J195)&gt;0,Plan!$E$17,999),IF(N(K195)&gt;0,Plan!$E$18,999))</f>
        <v/>
      </c>
      <c r="M196" s="18">
        <f>IF(N(B195)&lt;=0,0,MIN(B195*(1+Plan!$C$9/12),Plan!$D$9+IF(Plan!$E$9=$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IF(N(C195)&lt;=0,0,MIN(C195*(1+Plan!$C$10/12),Plan!$D$10+IF(Plan!$E$10=$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IF(N(D195)&lt;=0,0,MIN(D195*(1+Plan!$C$11/12),Plan!$D$11+IF(Plan!$E$11=$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IF(N(E195)&lt;=0,0,MIN(E195*(1+Plan!$C$12/12),Plan!$D$12+IF(Plan!$E$12=$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IF(N(F195)&lt;=0,0,MIN(F195*(1+Plan!$C$13/12),Plan!$D$13+IF(Plan!$E$13=$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IF(N(G195)&lt;=0,0,MIN(G195*(1+Plan!$C$14/12),Plan!$D$14+IF(Plan!$E$14=$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IF(N(H195)&lt;=0,0,MIN(H195*(1+Plan!$C$15/12),Plan!$D$15+IF(Plan!$E$15=$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IF(N(I195)&lt;=0,0,MIN(I195*(1+Plan!$C$16/12),Plan!$D$16+IF(Plan!$E$16=$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IF(N(J195)&lt;=0,0,MIN(J195*(1+Plan!$C$17/12),Plan!$D$17+IF(Plan!$E$17=$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IF(N(K195)&lt;=0,0,MIN(K195*(1+Plan!$C$18/12),Plan!$D$18+IF(Plan!$E$18=$L196,Plan!$B$5+IF(AND(N(Plan!$B$9)&gt;0,N(B195)&lt;=0),Plan!$D$9,0)+IF(AND(N(Plan!$B$10)&gt;0,N(C195)&lt;=0),Plan!$D$10,0)+IF(AND(N(Plan!$B$11)&gt;0,N(D195)&lt;=0),Plan!$D$11,0)+IF(AND(N(Plan!$B$12)&gt;0,N(E195)&lt;=0),Plan!$D$12,0)+IF(AND(N(Plan!$B$13)&gt;0,N(F195)&lt;=0),Plan!$D$13,0)+IF(AND(N(Plan!$B$14)&gt;0,N(G195)&lt;=0),Plan!$D$14,0)+IF(AND(N(Plan!$B$15)&gt;0,N(H195)&lt;=0),Plan!$D$15,0)+IF(AND(N(Plan!$B$16)&gt;0,N(I195)&lt;=0),Plan!$D$16,0)+IF(AND(N(Plan!$B$17)&gt;0,N(J195)&lt;=0),Plan!$D$17,0)+IF(AND(N(Plan!$B$18)&gt;0,N(K195)&lt;=0),Plan!$D$18,0),0)))</f>
        <v/>
      </c>
    </row>
    <row r="197">
      <c r="A197" s="17" t="n">
        <v>193</v>
      </c>
      <c r="B197" s="18">
        <f>IF(N(B196)&lt;=0,0,MAX(0,B196*(1+Plan!$C$9/12)-(Plan!$D$9+IF(Plan!$E$9=$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C197" s="18">
        <f>IF(N(C196)&lt;=0,0,MAX(0,C196*(1+Plan!$C$10/12)-(Plan!$D$10+IF(Plan!$E$10=$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D197" s="18">
        <f>IF(N(D196)&lt;=0,0,MAX(0,D196*(1+Plan!$C$11/12)-(Plan!$D$11+IF(Plan!$E$11=$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E197" s="18">
        <f>IF(N(E196)&lt;=0,0,MAX(0,E196*(1+Plan!$C$12/12)-(Plan!$D$12+IF(Plan!$E$12=$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F197" s="18">
        <f>IF(N(F196)&lt;=0,0,MAX(0,F196*(1+Plan!$C$13/12)-(Plan!$D$13+IF(Plan!$E$13=$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G197" s="18">
        <f>IF(N(G196)&lt;=0,0,MAX(0,G196*(1+Plan!$C$14/12)-(Plan!$D$14+IF(Plan!$E$14=$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H197" s="18">
        <f>IF(N(H196)&lt;=0,0,MAX(0,H196*(1+Plan!$C$15/12)-(Plan!$D$15+IF(Plan!$E$15=$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I197" s="18">
        <f>IF(N(I196)&lt;=0,0,MAX(0,I196*(1+Plan!$C$16/12)-(Plan!$D$16+IF(Plan!$E$16=$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J197" s="18">
        <f>IF(N(J196)&lt;=0,0,MAX(0,J196*(1+Plan!$C$17/12)-(Plan!$D$17+IF(Plan!$E$17=$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K197" s="18">
        <f>IF(N(K196)&lt;=0,0,MAX(0,K196*(1+Plan!$C$18/12)-(Plan!$D$18+IF(Plan!$E$18=$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c r="L197" s="19">
        <f>MIN(IF(N(B196)&gt;0,Plan!$E$9,999),IF(N(C196)&gt;0,Plan!$E$10,999),IF(N(D196)&gt;0,Plan!$E$11,999),IF(N(E196)&gt;0,Plan!$E$12,999),IF(N(F196)&gt;0,Plan!$E$13,999),IF(N(G196)&gt;0,Plan!$E$14,999),IF(N(H196)&gt;0,Plan!$E$15,999),IF(N(I196)&gt;0,Plan!$E$16,999),IF(N(J196)&gt;0,Plan!$E$17,999),IF(N(K196)&gt;0,Plan!$E$18,999))</f>
        <v/>
      </c>
      <c r="M197" s="18">
        <f>IF(N(B196)&lt;=0,0,MIN(B196*(1+Plan!$C$9/12),Plan!$D$9+IF(Plan!$E$9=$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IF(N(C196)&lt;=0,0,MIN(C196*(1+Plan!$C$10/12),Plan!$D$10+IF(Plan!$E$10=$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IF(N(D196)&lt;=0,0,MIN(D196*(1+Plan!$C$11/12),Plan!$D$11+IF(Plan!$E$11=$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IF(N(E196)&lt;=0,0,MIN(E196*(1+Plan!$C$12/12),Plan!$D$12+IF(Plan!$E$12=$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IF(N(F196)&lt;=0,0,MIN(F196*(1+Plan!$C$13/12),Plan!$D$13+IF(Plan!$E$13=$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IF(N(G196)&lt;=0,0,MIN(G196*(1+Plan!$C$14/12),Plan!$D$14+IF(Plan!$E$14=$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IF(N(H196)&lt;=0,0,MIN(H196*(1+Plan!$C$15/12),Plan!$D$15+IF(Plan!$E$15=$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IF(N(I196)&lt;=0,0,MIN(I196*(1+Plan!$C$16/12),Plan!$D$16+IF(Plan!$E$16=$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IF(N(J196)&lt;=0,0,MIN(J196*(1+Plan!$C$17/12),Plan!$D$17+IF(Plan!$E$17=$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IF(N(K196)&lt;=0,0,MIN(K196*(1+Plan!$C$18/12),Plan!$D$18+IF(Plan!$E$18=$L197,Plan!$B$5+IF(AND(N(Plan!$B$9)&gt;0,N(B196)&lt;=0),Plan!$D$9,0)+IF(AND(N(Plan!$B$10)&gt;0,N(C196)&lt;=0),Plan!$D$10,0)+IF(AND(N(Plan!$B$11)&gt;0,N(D196)&lt;=0),Plan!$D$11,0)+IF(AND(N(Plan!$B$12)&gt;0,N(E196)&lt;=0),Plan!$D$12,0)+IF(AND(N(Plan!$B$13)&gt;0,N(F196)&lt;=0),Plan!$D$13,0)+IF(AND(N(Plan!$B$14)&gt;0,N(G196)&lt;=0),Plan!$D$14,0)+IF(AND(N(Plan!$B$15)&gt;0,N(H196)&lt;=0),Plan!$D$15,0)+IF(AND(N(Plan!$B$16)&gt;0,N(I196)&lt;=0),Plan!$D$16,0)+IF(AND(N(Plan!$B$17)&gt;0,N(J196)&lt;=0),Plan!$D$17,0)+IF(AND(N(Plan!$B$18)&gt;0,N(K196)&lt;=0),Plan!$D$18,0),0)))</f>
        <v/>
      </c>
    </row>
    <row r="198">
      <c r="A198" s="17" t="n">
        <v>194</v>
      </c>
      <c r="B198" s="18">
        <f>IF(N(B197)&lt;=0,0,MAX(0,B197*(1+Plan!$C$9/12)-(Plan!$D$9+IF(Plan!$E$9=$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C198" s="18">
        <f>IF(N(C197)&lt;=0,0,MAX(0,C197*(1+Plan!$C$10/12)-(Plan!$D$10+IF(Plan!$E$10=$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D198" s="18">
        <f>IF(N(D197)&lt;=0,0,MAX(0,D197*(1+Plan!$C$11/12)-(Plan!$D$11+IF(Plan!$E$11=$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E198" s="18">
        <f>IF(N(E197)&lt;=0,0,MAX(0,E197*(1+Plan!$C$12/12)-(Plan!$D$12+IF(Plan!$E$12=$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F198" s="18">
        <f>IF(N(F197)&lt;=0,0,MAX(0,F197*(1+Plan!$C$13/12)-(Plan!$D$13+IF(Plan!$E$13=$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G198" s="18">
        <f>IF(N(G197)&lt;=0,0,MAX(0,G197*(1+Plan!$C$14/12)-(Plan!$D$14+IF(Plan!$E$14=$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H198" s="18">
        <f>IF(N(H197)&lt;=0,0,MAX(0,H197*(1+Plan!$C$15/12)-(Plan!$D$15+IF(Plan!$E$15=$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I198" s="18">
        <f>IF(N(I197)&lt;=0,0,MAX(0,I197*(1+Plan!$C$16/12)-(Plan!$D$16+IF(Plan!$E$16=$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J198" s="18">
        <f>IF(N(J197)&lt;=0,0,MAX(0,J197*(1+Plan!$C$17/12)-(Plan!$D$17+IF(Plan!$E$17=$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K198" s="18">
        <f>IF(N(K197)&lt;=0,0,MAX(0,K197*(1+Plan!$C$18/12)-(Plan!$D$18+IF(Plan!$E$18=$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c r="L198" s="19">
        <f>MIN(IF(N(B197)&gt;0,Plan!$E$9,999),IF(N(C197)&gt;0,Plan!$E$10,999),IF(N(D197)&gt;0,Plan!$E$11,999),IF(N(E197)&gt;0,Plan!$E$12,999),IF(N(F197)&gt;0,Plan!$E$13,999),IF(N(G197)&gt;0,Plan!$E$14,999),IF(N(H197)&gt;0,Plan!$E$15,999),IF(N(I197)&gt;0,Plan!$E$16,999),IF(N(J197)&gt;0,Plan!$E$17,999),IF(N(K197)&gt;0,Plan!$E$18,999))</f>
        <v/>
      </c>
      <c r="M198" s="18">
        <f>IF(N(B197)&lt;=0,0,MIN(B197*(1+Plan!$C$9/12),Plan!$D$9+IF(Plan!$E$9=$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IF(N(C197)&lt;=0,0,MIN(C197*(1+Plan!$C$10/12),Plan!$D$10+IF(Plan!$E$10=$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IF(N(D197)&lt;=0,0,MIN(D197*(1+Plan!$C$11/12),Plan!$D$11+IF(Plan!$E$11=$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IF(N(E197)&lt;=0,0,MIN(E197*(1+Plan!$C$12/12),Plan!$D$12+IF(Plan!$E$12=$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IF(N(F197)&lt;=0,0,MIN(F197*(1+Plan!$C$13/12),Plan!$D$13+IF(Plan!$E$13=$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IF(N(G197)&lt;=0,0,MIN(G197*(1+Plan!$C$14/12),Plan!$D$14+IF(Plan!$E$14=$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IF(N(H197)&lt;=0,0,MIN(H197*(1+Plan!$C$15/12),Plan!$D$15+IF(Plan!$E$15=$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IF(N(I197)&lt;=0,0,MIN(I197*(1+Plan!$C$16/12),Plan!$D$16+IF(Plan!$E$16=$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IF(N(J197)&lt;=0,0,MIN(J197*(1+Plan!$C$17/12),Plan!$D$17+IF(Plan!$E$17=$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IF(N(K197)&lt;=0,0,MIN(K197*(1+Plan!$C$18/12),Plan!$D$18+IF(Plan!$E$18=$L198,Plan!$B$5+IF(AND(N(Plan!$B$9)&gt;0,N(B197)&lt;=0),Plan!$D$9,0)+IF(AND(N(Plan!$B$10)&gt;0,N(C197)&lt;=0),Plan!$D$10,0)+IF(AND(N(Plan!$B$11)&gt;0,N(D197)&lt;=0),Plan!$D$11,0)+IF(AND(N(Plan!$B$12)&gt;0,N(E197)&lt;=0),Plan!$D$12,0)+IF(AND(N(Plan!$B$13)&gt;0,N(F197)&lt;=0),Plan!$D$13,0)+IF(AND(N(Plan!$B$14)&gt;0,N(G197)&lt;=0),Plan!$D$14,0)+IF(AND(N(Plan!$B$15)&gt;0,N(H197)&lt;=0),Plan!$D$15,0)+IF(AND(N(Plan!$B$16)&gt;0,N(I197)&lt;=0),Plan!$D$16,0)+IF(AND(N(Plan!$B$17)&gt;0,N(J197)&lt;=0),Plan!$D$17,0)+IF(AND(N(Plan!$B$18)&gt;0,N(K197)&lt;=0),Plan!$D$18,0),0)))</f>
        <v/>
      </c>
    </row>
    <row r="199">
      <c r="A199" s="17" t="n">
        <v>195</v>
      </c>
      <c r="B199" s="18">
        <f>IF(N(B198)&lt;=0,0,MAX(0,B198*(1+Plan!$C$9/12)-(Plan!$D$9+IF(Plan!$E$9=$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C199" s="18">
        <f>IF(N(C198)&lt;=0,0,MAX(0,C198*(1+Plan!$C$10/12)-(Plan!$D$10+IF(Plan!$E$10=$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D199" s="18">
        <f>IF(N(D198)&lt;=0,0,MAX(0,D198*(1+Plan!$C$11/12)-(Plan!$D$11+IF(Plan!$E$11=$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E199" s="18">
        <f>IF(N(E198)&lt;=0,0,MAX(0,E198*(1+Plan!$C$12/12)-(Plan!$D$12+IF(Plan!$E$12=$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F199" s="18">
        <f>IF(N(F198)&lt;=0,0,MAX(0,F198*(1+Plan!$C$13/12)-(Plan!$D$13+IF(Plan!$E$13=$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G199" s="18">
        <f>IF(N(G198)&lt;=0,0,MAX(0,G198*(1+Plan!$C$14/12)-(Plan!$D$14+IF(Plan!$E$14=$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H199" s="18">
        <f>IF(N(H198)&lt;=0,0,MAX(0,H198*(1+Plan!$C$15/12)-(Plan!$D$15+IF(Plan!$E$15=$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I199" s="18">
        <f>IF(N(I198)&lt;=0,0,MAX(0,I198*(1+Plan!$C$16/12)-(Plan!$D$16+IF(Plan!$E$16=$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J199" s="18">
        <f>IF(N(J198)&lt;=0,0,MAX(0,J198*(1+Plan!$C$17/12)-(Plan!$D$17+IF(Plan!$E$17=$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K199" s="18">
        <f>IF(N(K198)&lt;=0,0,MAX(0,K198*(1+Plan!$C$18/12)-(Plan!$D$18+IF(Plan!$E$18=$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c r="L199" s="19">
        <f>MIN(IF(N(B198)&gt;0,Plan!$E$9,999),IF(N(C198)&gt;0,Plan!$E$10,999),IF(N(D198)&gt;0,Plan!$E$11,999),IF(N(E198)&gt;0,Plan!$E$12,999),IF(N(F198)&gt;0,Plan!$E$13,999),IF(N(G198)&gt;0,Plan!$E$14,999),IF(N(H198)&gt;0,Plan!$E$15,999),IF(N(I198)&gt;0,Plan!$E$16,999),IF(N(J198)&gt;0,Plan!$E$17,999),IF(N(K198)&gt;0,Plan!$E$18,999))</f>
        <v/>
      </c>
      <c r="M199" s="18">
        <f>IF(N(B198)&lt;=0,0,MIN(B198*(1+Plan!$C$9/12),Plan!$D$9+IF(Plan!$E$9=$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IF(N(C198)&lt;=0,0,MIN(C198*(1+Plan!$C$10/12),Plan!$D$10+IF(Plan!$E$10=$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IF(N(D198)&lt;=0,0,MIN(D198*(1+Plan!$C$11/12),Plan!$D$11+IF(Plan!$E$11=$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IF(N(E198)&lt;=0,0,MIN(E198*(1+Plan!$C$12/12),Plan!$D$12+IF(Plan!$E$12=$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IF(N(F198)&lt;=0,0,MIN(F198*(1+Plan!$C$13/12),Plan!$D$13+IF(Plan!$E$13=$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IF(N(G198)&lt;=0,0,MIN(G198*(1+Plan!$C$14/12),Plan!$D$14+IF(Plan!$E$14=$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IF(N(H198)&lt;=0,0,MIN(H198*(1+Plan!$C$15/12),Plan!$D$15+IF(Plan!$E$15=$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IF(N(I198)&lt;=0,0,MIN(I198*(1+Plan!$C$16/12),Plan!$D$16+IF(Plan!$E$16=$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IF(N(J198)&lt;=0,0,MIN(J198*(1+Plan!$C$17/12),Plan!$D$17+IF(Plan!$E$17=$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IF(N(K198)&lt;=0,0,MIN(K198*(1+Plan!$C$18/12),Plan!$D$18+IF(Plan!$E$18=$L199,Plan!$B$5+IF(AND(N(Plan!$B$9)&gt;0,N(B198)&lt;=0),Plan!$D$9,0)+IF(AND(N(Plan!$B$10)&gt;0,N(C198)&lt;=0),Plan!$D$10,0)+IF(AND(N(Plan!$B$11)&gt;0,N(D198)&lt;=0),Plan!$D$11,0)+IF(AND(N(Plan!$B$12)&gt;0,N(E198)&lt;=0),Plan!$D$12,0)+IF(AND(N(Plan!$B$13)&gt;0,N(F198)&lt;=0),Plan!$D$13,0)+IF(AND(N(Plan!$B$14)&gt;0,N(G198)&lt;=0),Plan!$D$14,0)+IF(AND(N(Plan!$B$15)&gt;0,N(H198)&lt;=0),Plan!$D$15,0)+IF(AND(N(Plan!$B$16)&gt;0,N(I198)&lt;=0),Plan!$D$16,0)+IF(AND(N(Plan!$B$17)&gt;0,N(J198)&lt;=0),Plan!$D$17,0)+IF(AND(N(Plan!$B$18)&gt;0,N(K198)&lt;=0),Plan!$D$18,0),0)))</f>
        <v/>
      </c>
    </row>
    <row r="200">
      <c r="A200" s="17" t="n">
        <v>196</v>
      </c>
      <c r="B200" s="18">
        <f>IF(N(B199)&lt;=0,0,MAX(0,B199*(1+Plan!$C$9/12)-(Plan!$D$9+IF(Plan!$E$9=$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C200" s="18">
        <f>IF(N(C199)&lt;=0,0,MAX(0,C199*(1+Plan!$C$10/12)-(Plan!$D$10+IF(Plan!$E$10=$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D200" s="18">
        <f>IF(N(D199)&lt;=0,0,MAX(0,D199*(1+Plan!$C$11/12)-(Plan!$D$11+IF(Plan!$E$11=$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E200" s="18">
        <f>IF(N(E199)&lt;=0,0,MAX(0,E199*(1+Plan!$C$12/12)-(Plan!$D$12+IF(Plan!$E$12=$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F200" s="18">
        <f>IF(N(F199)&lt;=0,0,MAX(0,F199*(1+Plan!$C$13/12)-(Plan!$D$13+IF(Plan!$E$13=$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G200" s="18">
        <f>IF(N(G199)&lt;=0,0,MAX(0,G199*(1+Plan!$C$14/12)-(Plan!$D$14+IF(Plan!$E$14=$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H200" s="18">
        <f>IF(N(H199)&lt;=0,0,MAX(0,H199*(1+Plan!$C$15/12)-(Plan!$D$15+IF(Plan!$E$15=$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I200" s="18">
        <f>IF(N(I199)&lt;=0,0,MAX(0,I199*(1+Plan!$C$16/12)-(Plan!$D$16+IF(Plan!$E$16=$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J200" s="18">
        <f>IF(N(J199)&lt;=0,0,MAX(0,J199*(1+Plan!$C$17/12)-(Plan!$D$17+IF(Plan!$E$17=$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K200" s="18">
        <f>IF(N(K199)&lt;=0,0,MAX(0,K199*(1+Plan!$C$18/12)-(Plan!$D$18+IF(Plan!$E$18=$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c r="L200" s="19">
        <f>MIN(IF(N(B199)&gt;0,Plan!$E$9,999),IF(N(C199)&gt;0,Plan!$E$10,999),IF(N(D199)&gt;0,Plan!$E$11,999),IF(N(E199)&gt;0,Plan!$E$12,999),IF(N(F199)&gt;0,Plan!$E$13,999),IF(N(G199)&gt;0,Plan!$E$14,999),IF(N(H199)&gt;0,Plan!$E$15,999),IF(N(I199)&gt;0,Plan!$E$16,999),IF(N(J199)&gt;0,Plan!$E$17,999),IF(N(K199)&gt;0,Plan!$E$18,999))</f>
        <v/>
      </c>
      <c r="M200" s="18">
        <f>IF(N(B199)&lt;=0,0,MIN(B199*(1+Plan!$C$9/12),Plan!$D$9+IF(Plan!$E$9=$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IF(N(C199)&lt;=0,0,MIN(C199*(1+Plan!$C$10/12),Plan!$D$10+IF(Plan!$E$10=$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IF(N(D199)&lt;=0,0,MIN(D199*(1+Plan!$C$11/12),Plan!$D$11+IF(Plan!$E$11=$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IF(N(E199)&lt;=0,0,MIN(E199*(1+Plan!$C$12/12),Plan!$D$12+IF(Plan!$E$12=$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IF(N(F199)&lt;=0,0,MIN(F199*(1+Plan!$C$13/12),Plan!$D$13+IF(Plan!$E$13=$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IF(N(G199)&lt;=0,0,MIN(G199*(1+Plan!$C$14/12),Plan!$D$14+IF(Plan!$E$14=$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IF(N(H199)&lt;=0,0,MIN(H199*(1+Plan!$C$15/12),Plan!$D$15+IF(Plan!$E$15=$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IF(N(I199)&lt;=0,0,MIN(I199*(1+Plan!$C$16/12),Plan!$D$16+IF(Plan!$E$16=$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IF(N(J199)&lt;=0,0,MIN(J199*(1+Plan!$C$17/12),Plan!$D$17+IF(Plan!$E$17=$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IF(N(K199)&lt;=0,0,MIN(K199*(1+Plan!$C$18/12),Plan!$D$18+IF(Plan!$E$18=$L200,Plan!$B$5+IF(AND(N(Plan!$B$9)&gt;0,N(B199)&lt;=0),Plan!$D$9,0)+IF(AND(N(Plan!$B$10)&gt;0,N(C199)&lt;=0),Plan!$D$10,0)+IF(AND(N(Plan!$B$11)&gt;0,N(D199)&lt;=0),Plan!$D$11,0)+IF(AND(N(Plan!$B$12)&gt;0,N(E199)&lt;=0),Plan!$D$12,0)+IF(AND(N(Plan!$B$13)&gt;0,N(F199)&lt;=0),Plan!$D$13,0)+IF(AND(N(Plan!$B$14)&gt;0,N(G199)&lt;=0),Plan!$D$14,0)+IF(AND(N(Plan!$B$15)&gt;0,N(H199)&lt;=0),Plan!$D$15,0)+IF(AND(N(Plan!$B$16)&gt;0,N(I199)&lt;=0),Plan!$D$16,0)+IF(AND(N(Plan!$B$17)&gt;0,N(J199)&lt;=0),Plan!$D$17,0)+IF(AND(N(Plan!$B$18)&gt;0,N(K199)&lt;=0),Plan!$D$18,0),0)))</f>
        <v/>
      </c>
    </row>
    <row r="201">
      <c r="A201" s="17" t="n">
        <v>197</v>
      </c>
      <c r="B201" s="18">
        <f>IF(N(B200)&lt;=0,0,MAX(0,B200*(1+Plan!$C$9/12)-(Plan!$D$9+IF(Plan!$E$9=$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C201" s="18">
        <f>IF(N(C200)&lt;=0,0,MAX(0,C200*(1+Plan!$C$10/12)-(Plan!$D$10+IF(Plan!$E$10=$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D201" s="18">
        <f>IF(N(D200)&lt;=0,0,MAX(0,D200*(1+Plan!$C$11/12)-(Plan!$D$11+IF(Plan!$E$11=$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E201" s="18">
        <f>IF(N(E200)&lt;=0,0,MAX(0,E200*(1+Plan!$C$12/12)-(Plan!$D$12+IF(Plan!$E$12=$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F201" s="18">
        <f>IF(N(F200)&lt;=0,0,MAX(0,F200*(1+Plan!$C$13/12)-(Plan!$D$13+IF(Plan!$E$13=$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G201" s="18">
        <f>IF(N(G200)&lt;=0,0,MAX(0,G200*(1+Plan!$C$14/12)-(Plan!$D$14+IF(Plan!$E$14=$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H201" s="18">
        <f>IF(N(H200)&lt;=0,0,MAX(0,H200*(1+Plan!$C$15/12)-(Plan!$D$15+IF(Plan!$E$15=$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I201" s="18">
        <f>IF(N(I200)&lt;=0,0,MAX(0,I200*(1+Plan!$C$16/12)-(Plan!$D$16+IF(Plan!$E$16=$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J201" s="18">
        <f>IF(N(J200)&lt;=0,0,MAX(0,J200*(1+Plan!$C$17/12)-(Plan!$D$17+IF(Plan!$E$17=$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K201" s="18">
        <f>IF(N(K200)&lt;=0,0,MAX(0,K200*(1+Plan!$C$18/12)-(Plan!$D$18+IF(Plan!$E$18=$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c r="L201" s="19">
        <f>MIN(IF(N(B200)&gt;0,Plan!$E$9,999),IF(N(C200)&gt;0,Plan!$E$10,999),IF(N(D200)&gt;0,Plan!$E$11,999),IF(N(E200)&gt;0,Plan!$E$12,999),IF(N(F200)&gt;0,Plan!$E$13,999),IF(N(G200)&gt;0,Plan!$E$14,999),IF(N(H200)&gt;0,Plan!$E$15,999),IF(N(I200)&gt;0,Plan!$E$16,999),IF(N(J200)&gt;0,Plan!$E$17,999),IF(N(K200)&gt;0,Plan!$E$18,999))</f>
        <v/>
      </c>
      <c r="M201" s="18">
        <f>IF(N(B200)&lt;=0,0,MIN(B200*(1+Plan!$C$9/12),Plan!$D$9+IF(Plan!$E$9=$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IF(N(C200)&lt;=0,0,MIN(C200*(1+Plan!$C$10/12),Plan!$D$10+IF(Plan!$E$10=$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IF(N(D200)&lt;=0,0,MIN(D200*(1+Plan!$C$11/12),Plan!$D$11+IF(Plan!$E$11=$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IF(N(E200)&lt;=0,0,MIN(E200*(1+Plan!$C$12/12),Plan!$D$12+IF(Plan!$E$12=$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IF(N(F200)&lt;=0,0,MIN(F200*(1+Plan!$C$13/12),Plan!$D$13+IF(Plan!$E$13=$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IF(N(G200)&lt;=0,0,MIN(G200*(1+Plan!$C$14/12),Plan!$D$14+IF(Plan!$E$14=$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IF(N(H200)&lt;=0,0,MIN(H200*(1+Plan!$C$15/12),Plan!$D$15+IF(Plan!$E$15=$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IF(N(I200)&lt;=0,0,MIN(I200*(1+Plan!$C$16/12),Plan!$D$16+IF(Plan!$E$16=$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IF(N(J200)&lt;=0,0,MIN(J200*(1+Plan!$C$17/12),Plan!$D$17+IF(Plan!$E$17=$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IF(N(K200)&lt;=0,0,MIN(K200*(1+Plan!$C$18/12),Plan!$D$18+IF(Plan!$E$18=$L201,Plan!$B$5+IF(AND(N(Plan!$B$9)&gt;0,N(B200)&lt;=0),Plan!$D$9,0)+IF(AND(N(Plan!$B$10)&gt;0,N(C200)&lt;=0),Plan!$D$10,0)+IF(AND(N(Plan!$B$11)&gt;0,N(D200)&lt;=0),Plan!$D$11,0)+IF(AND(N(Plan!$B$12)&gt;0,N(E200)&lt;=0),Plan!$D$12,0)+IF(AND(N(Plan!$B$13)&gt;0,N(F200)&lt;=0),Plan!$D$13,0)+IF(AND(N(Plan!$B$14)&gt;0,N(G200)&lt;=0),Plan!$D$14,0)+IF(AND(N(Plan!$B$15)&gt;0,N(H200)&lt;=0),Plan!$D$15,0)+IF(AND(N(Plan!$B$16)&gt;0,N(I200)&lt;=0),Plan!$D$16,0)+IF(AND(N(Plan!$B$17)&gt;0,N(J200)&lt;=0),Plan!$D$17,0)+IF(AND(N(Plan!$B$18)&gt;0,N(K200)&lt;=0),Plan!$D$18,0),0)))</f>
        <v/>
      </c>
    </row>
    <row r="202">
      <c r="A202" s="17" t="n">
        <v>198</v>
      </c>
      <c r="B202" s="18">
        <f>IF(N(B201)&lt;=0,0,MAX(0,B201*(1+Plan!$C$9/12)-(Plan!$D$9+IF(Plan!$E$9=$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C202" s="18">
        <f>IF(N(C201)&lt;=0,0,MAX(0,C201*(1+Plan!$C$10/12)-(Plan!$D$10+IF(Plan!$E$10=$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D202" s="18">
        <f>IF(N(D201)&lt;=0,0,MAX(0,D201*(1+Plan!$C$11/12)-(Plan!$D$11+IF(Plan!$E$11=$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E202" s="18">
        <f>IF(N(E201)&lt;=0,0,MAX(0,E201*(1+Plan!$C$12/12)-(Plan!$D$12+IF(Plan!$E$12=$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F202" s="18">
        <f>IF(N(F201)&lt;=0,0,MAX(0,F201*(1+Plan!$C$13/12)-(Plan!$D$13+IF(Plan!$E$13=$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G202" s="18">
        <f>IF(N(G201)&lt;=0,0,MAX(0,G201*(1+Plan!$C$14/12)-(Plan!$D$14+IF(Plan!$E$14=$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H202" s="18">
        <f>IF(N(H201)&lt;=0,0,MAX(0,H201*(1+Plan!$C$15/12)-(Plan!$D$15+IF(Plan!$E$15=$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I202" s="18">
        <f>IF(N(I201)&lt;=0,0,MAX(0,I201*(1+Plan!$C$16/12)-(Plan!$D$16+IF(Plan!$E$16=$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J202" s="18">
        <f>IF(N(J201)&lt;=0,0,MAX(0,J201*(1+Plan!$C$17/12)-(Plan!$D$17+IF(Plan!$E$17=$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K202" s="18">
        <f>IF(N(K201)&lt;=0,0,MAX(0,K201*(1+Plan!$C$18/12)-(Plan!$D$18+IF(Plan!$E$18=$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c r="L202" s="19">
        <f>MIN(IF(N(B201)&gt;0,Plan!$E$9,999),IF(N(C201)&gt;0,Plan!$E$10,999),IF(N(D201)&gt;0,Plan!$E$11,999),IF(N(E201)&gt;0,Plan!$E$12,999),IF(N(F201)&gt;0,Plan!$E$13,999),IF(N(G201)&gt;0,Plan!$E$14,999),IF(N(H201)&gt;0,Plan!$E$15,999),IF(N(I201)&gt;0,Plan!$E$16,999),IF(N(J201)&gt;0,Plan!$E$17,999),IF(N(K201)&gt;0,Plan!$E$18,999))</f>
        <v/>
      </c>
      <c r="M202" s="18">
        <f>IF(N(B201)&lt;=0,0,MIN(B201*(1+Plan!$C$9/12),Plan!$D$9+IF(Plan!$E$9=$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IF(N(C201)&lt;=0,0,MIN(C201*(1+Plan!$C$10/12),Plan!$D$10+IF(Plan!$E$10=$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IF(N(D201)&lt;=0,0,MIN(D201*(1+Plan!$C$11/12),Plan!$D$11+IF(Plan!$E$11=$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IF(N(E201)&lt;=0,0,MIN(E201*(1+Plan!$C$12/12),Plan!$D$12+IF(Plan!$E$12=$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IF(N(F201)&lt;=0,0,MIN(F201*(1+Plan!$C$13/12),Plan!$D$13+IF(Plan!$E$13=$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IF(N(G201)&lt;=0,0,MIN(G201*(1+Plan!$C$14/12),Plan!$D$14+IF(Plan!$E$14=$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IF(N(H201)&lt;=0,0,MIN(H201*(1+Plan!$C$15/12),Plan!$D$15+IF(Plan!$E$15=$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IF(N(I201)&lt;=0,0,MIN(I201*(1+Plan!$C$16/12),Plan!$D$16+IF(Plan!$E$16=$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IF(N(J201)&lt;=0,0,MIN(J201*(1+Plan!$C$17/12),Plan!$D$17+IF(Plan!$E$17=$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IF(N(K201)&lt;=0,0,MIN(K201*(1+Plan!$C$18/12),Plan!$D$18+IF(Plan!$E$18=$L202,Plan!$B$5+IF(AND(N(Plan!$B$9)&gt;0,N(B201)&lt;=0),Plan!$D$9,0)+IF(AND(N(Plan!$B$10)&gt;0,N(C201)&lt;=0),Plan!$D$10,0)+IF(AND(N(Plan!$B$11)&gt;0,N(D201)&lt;=0),Plan!$D$11,0)+IF(AND(N(Plan!$B$12)&gt;0,N(E201)&lt;=0),Plan!$D$12,0)+IF(AND(N(Plan!$B$13)&gt;0,N(F201)&lt;=0),Plan!$D$13,0)+IF(AND(N(Plan!$B$14)&gt;0,N(G201)&lt;=0),Plan!$D$14,0)+IF(AND(N(Plan!$B$15)&gt;0,N(H201)&lt;=0),Plan!$D$15,0)+IF(AND(N(Plan!$B$16)&gt;0,N(I201)&lt;=0),Plan!$D$16,0)+IF(AND(N(Plan!$B$17)&gt;0,N(J201)&lt;=0),Plan!$D$17,0)+IF(AND(N(Plan!$B$18)&gt;0,N(K201)&lt;=0),Plan!$D$18,0),0)))</f>
        <v/>
      </c>
    </row>
    <row r="203">
      <c r="A203" s="17" t="n">
        <v>199</v>
      </c>
      <c r="B203" s="18">
        <f>IF(N(B202)&lt;=0,0,MAX(0,B202*(1+Plan!$C$9/12)-(Plan!$D$9+IF(Plan!$E$9=$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C203" s="18">
        <f>IF(N(C202)&lt;=0,0,MAX(0,C202*(1+Plan!$C$10/12)-(Plan!$D$10+IF(Plan!$E$10=$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D203" s="18">
        <f>IF(N(D202)&lt;=0,0,MAX(0,D202*(1+Plan!$C$11/12)-(Plan!$D$11+IF(Plan!$E$11=$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E203" s="18">
        <f>IF(N(E202)&lt;=0,0,MAX(0,E202*(1+Plan!$C$12/12)-(Plan!$D$12+IF(Plan!$E$12=$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F203" s="18">
        <f>IF(N(F202)&lt;=0,0,MAX(0,F202*(1+Plan!$C$13/12)-(Plan!$D$13+IF(Plan!$E$13=$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G203" s="18">
        <f>IF(N(G202)&lt;=0,0,MAX(0,G202*(1+Plan!$C$14/12)-(Plan!$D$14+IF(Plan!$E$14=$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H203" s="18">
        <f>IF(N(H202)&lt;=0,0,MAX(0,H202*(1+Plan!$C$15/12)-(Plan!$D$15+IF(Plan!$E$15=$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I203" s="18">
        <f>IF(N(I202)&lt;=0,0,MAX(0,I202*(1+Plan!$C$16/12)-(Plan!$D$16+IF(Plan!$E$16=$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J203" s="18">
        <f>IF(N(J202)&lt;=0,0,MAX(0,J202*(1+Plan!$C$17/12)-(Plan!$D$17+IF(Plan!$E$17=$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K203" s="18">
        <f>IF(N(K202)&lt;=0,0,MAX(0,K202*(1+Plan!$C$18/12)-(Plan!$D$18+IF(Plan!$E$18=$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c r="L203" s="19">
        <f>MIN(IF(N(B202)&gt;0,Plan!$E$9,999),IF(N(C202)&gt;0,Plan!$E$10,999),IF(N(D202)&gt;0,Plan!$E$11,999),IF(N(E202)&gt;0,Plan!$E$12,999),IF(N(F202)&gt;0,Plan!$E$13,999),IF(N(G202)&gt;0,Plan!$E$14,999),IF(N(H202)&gt;0,Plan!$E$15,999),IF(N(I202)&gt;0,Plan!$E$16,999),IF(N(J202)&gt;0,Plan!$E$17,999),IF(N(K202)&gt;0,Plan!$E$18,999))</f>
        <v/>
      </c>
      <c r="M203" s="18">
        <f>IF(N(B202)&lt;=0,0,MIN(B202*(1+Plan!$C$9/12),Plan!$D$9+IF(Plan!$E$9=$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IF(N(C202)&lt;=0,0,MIN(C202*(1+Plan!$C$10/12),Plan!$D$10+IF(Plan!$E$10=$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IF(N(D202)&lt;=0,0,MIN(D202*(1+Plan!$C$11/12),Plan!$D$11+IF(Plan!$E$11=$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IF(N(E202)&lt;=0,0,MIN(E202*(1+Plan!$C$12/12),Plan!$D$12+IF(Plan!$E$12=$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IF(N(F202)&lt;=0,0,MIN(F202*(1+Plan!$C$13/12),Plan!$D$13+IF(Plan!$E$13=$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IF(N(G202)&lt;=0,0,MIN(G202*(1+Plan!$C$14/12),Plan!$D$14+IF(Plan!$E$14=$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IF(N(H202)&lt;=0,0,MIN(H202*(1+Plan!$C$15/12),Plan!$D$15+IF(Plan!$E$15=$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IF(N(I202)&lt;=0,0,MIN(I202*(1+Plan!$C$16/12),Plan!$D$16+IF(Plan!$E$16=$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IF(N(J202)&lt;=0,0,MIN(J202*(1+Plan!$C$17/12),Plan!$D$17+IF(Plan!$E$17=$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IF(N(K202)&lt;=0,0,MIN(K202*(1+Plan!$C$18/12),Plan!$D$18+IF(Plan!$E$18=$L203,Plan!$B$5+IF(AND(N(Plan!$B$9)&gt;0,N(B202)&lt;=0),Plan!$D$9,0)+IF(AND(N(Plan!$B$10)&gt;0,N(C202)&lt;=0),Plan!$D$10,0)+IF(AND(N(Plan!$B$11)&gt;0,N(D202)&lt;=0),Plan!$D$11,0)+IF(AND(N(Plan!$B$12)&gt;0,N(E202)&lt;=0),Plan!$D$12,0)+IF(AND(N(Plan!$B$13)&gt;0,N(F202)&lt;=0),Plan!$D$13,0)+IF(AND(N(Plan!$B$14)&gt;0,N(G202)&lt;=0),Plan!$D$14,0)+IF(AND(N(Plan!$B$15)&gt;0,N(H202)&lt;=0),Plan!$D$15,0)+IF(AND(N(Plan!$B$16)&gt;0,N(I202)&lt;=0),Plan!$D$16,0)+IF(AND(N(Plan!$B$17)&gt;0,N(J202)&lt;=0),Plan!$D$17,0)+IF(AND(N(Plan!$B$18)&gt;0,N(K202)&lt;=0),Plan!$D$18,0),0)))</f>
        <v/>
      </c>
    </row>
    <row r="204">
      <c r="A204" s="17" t="n">
        <v>200</v>
      </c>
      <c r="B204" s="18">
        <f>IF(N(B203)&lt;=0,0,MAX(0,B203*(1+Plan!$C$9/12)-(Plan!$D$9+IF(Plan!$E$9=$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C204" s="18">
        <f>IF(N(C203)&lt;=0,0,MAX(0,C203*(1+Plan!$C$10/12)-(Plan!$D$10+IF(Plan!$E$10=$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D204" s="18">
        <f>IF(N(D203)&lt;=0,0,MAX(0,D203*(1+Plan!$C$11/12)-(Plan!$D$11+IF(Plan!$E$11=$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E204" s="18">
        <f>IF(N(E203)&lt;=0,0,MAX(0,E203*(1+Plan!$C$12/12)-(Plan!$D$12+IF(Plan!$E$12=$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F204" s="18">
        <f>IF(N(F203)&lt;=0,0,MAX(0,F203*(1+Plan!$C$13/12)-(Plan!$D$13+IF(Plan!$E$13=$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G204" s="18">
        <f>IF(N(G203)&lt;=0,0,MAX(0,G203*(1+Plan!$C$14/12)-(Plan!$D$14+IF(Plan!$E$14=$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H204" s="18">
        <f>IF(N(H203)&lt;=0,0,MAX(0,H203*(1+Plan!$C$15/12)-(Plan!$D$15+IF(Plan!$E$15=$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I204" s="18">
        <f>IF(N(I203)&lt;=0,0,MAX(0,I203*(1+Plan!$C$16/12)-(Plan!$D$16+IF(Plan!$E$16=$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J204" s="18">
        <f>IF(N(J203)&lt;=0,0,MAX(0,J203*(1+Plan!$C$17/12)-(Plan!$D$17+IF(Plan!$E$17=$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K204" s="18">
        <f>IF(N(K203)&lt;=0,0,MAX(0,K203*(1+Plan!$C$18/12)-(Plan!$D$18+IF(Plan!$E$18=$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c r="L204" s="19">
        <f>MIN(IF(N(B203)&gt;0,Plan!$E$9,999),IF(N(C203)&gt;0,Plan!$E$10,999),IF(N(D203)&gt;0,Plan!$E$11,999),IF(N(E203)&gt;0,Plan!$E$12,999),IF(N(F203)&gt;0,Plan!$E$13,999),IF(N(G203)&gt;0,Plan!$E$14,999),IF(N(H203)&gt;0,Plan!$E$15,999),IF(N(I203)&gt;0,Plan!$E$16,999),IF(N(J203)&gt;0,Plan!$E$17,999),IF(N(K203)&gt;0,Plan!$E$18,999))</f>
        <v/>
      </c>
      <c r="M204" s="18">
        <f>IF(N(B203)&lt;=0,0,MIN(B203*(1+Plan!$C$9/12),Plan!$D$9+IF(Plan!$E$9=$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IF(N(C203)&lt;=0,0,MIN(C203*(1+Plan!$C$10/12),Plan!$D$10+IF(Plan!$E$10=$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IF(N(D203)&lt;=0,0,MIN(D203*(1+Plan!$C$11/12),Plan!$D$11+IF(Plan!$E$11=$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IF(N(E203)&lt;=0,0,MIN(E203*(1+Plan!$C$12/12),Plan!$D$12+IF(Plan!$E$12=$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IF(N(F203)&lt;=0,0,MIN(F203*(1+Plan!$C$13/12),Plan!$D$13+IF(Plan!$E$13=$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IF(N(G203)&lt;=0,0,MIN(G203*(1+Plan!$C$14/12),Plan!$D$14+IF(Plan!$E$14=$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IF(N(H203)&lt;=0,0,MIN(H203*(1+Plan!$C$15/12),Plan!$D$15+IF(Plan!$E$15=$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IF(N(I203)&lt;=0,0,MIN(I203*(1+Plan!$C$16/12),Plan!$D$16+IF(Plan!$E$16=$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IF(N(J203)&lt;=0,0,MIN(J203*(1+Plan!$C$17/12),Plan!$D$17+IF(Plan!$E$17=$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IF(N(K203)&lt;=0,0,MIN(K203*(1+Plan!$C$18/12),Plan!$D$18+IF(Plan!$E$18=$L204,Plan!$B$5+IF(AND(N(Plan!$B$9)&gt;0,N(B203)&lt;=0),Plan!$D$9,0)+IF(AND(N(Plan!$B$10)&gt;0,N(C203)&lt;=0),Plan!$D$10,0)+IF(AND(N(Plan!$B$11)&gt;0,N(D203)&lt;=0),Plan!$D$11,0)+IF(AND(N(Plan!$B$12)&gt;0,N(E203)&lt;=0),Plan!$D$12,0)+IF(AND(N(Plan!$B$13)&gt;0,N(F203)&lt;=0),Plan!$D$13,0)+IF(AND(N(Plan!$B$14)&gt;0,N(G203)&lt;=0),Plan!$D$14,0)+IF(AND(N(Plan!$B$15)&gt;0,N(H203)&lt;=0),Plan!$D$15,0)+IF(AND(N(Plan!$B$16)&gt;0,N(I203)&lt;=0),Plan!$D$16,0)+IF(AND(N(Plan!$B$17)&gt;0,N(J203)&lt;=0),Plan!$D$17,0)+IF(AND(N(Plan!$B$18)&gt;0,N(K203)&lt;=0),Plan!$D$18,0),0)))</f>
        <v/>
      </c>
    </row>
    <row r="205">
      <c r="A205" s="17" t="n">
        <v>201</v>
      </c>
      <c r="B205" s="18">
        <f>IF(N(B204)&lt;=0,0,MAX(0,B204*(1+Plan!$C$9/12)-(Plan!$D$9+IF(Plan!$E$9=$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C205" s="18">
        <f>IF(N(C204)&lt;=0,0,MAX(0,C204*(1+Plan!$C$10/12)-(Plan!$D$10+IF(Plan!$E$10=$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D205" s="18">
        <f>IF(N(D204)&lt;=0,0,MAX(0,D204*(1+Plan!$C$11/12)-(Plan!$D$11+IF(Plan!$E$11=$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E205" s="18">
        <f>IF(N(E204)&lt;=0,0,MAX(0,E204*(1+Plan!$C$12/12)-(Plan!$D$12+IF(Plan!$E$12=$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F205" s="18">
        <f>IF(N(F204)&lt;=0,0,MAX(0,F204*(1+Plan!$C$13/12)-(Plan!$D$13+IF(Plan!$E$13=$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G205" s="18">
        <f>IF(N(G204)&lt;=0,0,MAX(0,G204*(1+Plan!$C$14/12)-(Plan!$D$14+IF(Plan!$E$14=$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H205" s="18">
        <f>IF(N(H204)&lt;=0,0,MAX(0,H204*(1+Plan!$C$15/12)-(Plan!$D$15+IF(Plan!$E$15=$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I205" s="18">
        <f>IF(N(I204)&lt;=0,0,MAX(0,I204*(1+Plan!$C$16/12)-(Plan!$D$16+IF(Plan!$E$16=$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J205" s="18">
        <f>IF(N(J204)&lt;=0,0,MAX(0,J204*(1+Plan!$C$17/12)-(Plan!$D$17+IF(Plan!$E$17=$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K205" s="18">
        <f>IF(N(K204)&lt;=0,0,MAX(0,K204*(1+Plan!$C$18/12)-(Plan!$D$18+IF(Plan!$E$18=$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c r="L205" s="19">
        <f>MIN(IF(N(B204)&gt;0,Plan!$E$9,999),IF(N(C204)&gt;0,Plan!$E$10,999),IF(N(D204)&gt;0,Plan!$E$11,999),IF(N(E204)&gt;0,Plan!$E$12,999),IF(N(F204)&gt;0,Plan!$E$13,999),IF(N(G204)&gt;0,Plan!$E$14,999),IF(N(H204)&gt;0,Plan!$E$15,999),IF(N(I204)&gt;0,Plan!$E$16,999),IF(N(J204)&gt;0,Plan!$E$17,999),IF(N(K204)&gt;0,Plan!$E$18,999))</f>
        <v/>
      </c>
      <c r="M205" s="18">
        <f>IF(N(B204)&lt;=0,0,MIN(B204*(1+Plan!$C$9/12),Plan!$D$9+IF(Plan!$E$9=$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IF(N(C204)&lt;=0,0,MIN(C204*(1+Plan!$C$10/12),Plan!$D$10+IF(Plan!$E$10=$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IF(N(D204)&lt;=0,0,MIN(D204*(1+Plan!$C$11/12),Plan!$D$11+IF(Plan!$E$11=$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IF(N(E204)&lt;=0,0,MIN(E204*(1+Plan!$C$12/12),Plan!$D$12+IF(Plan!$E$12=$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IF(N(F204)&lt;=0,0,MIN(F204*(1+Plan!$C$13/12),Plan!$D$13+IF(Plan!$E$13=$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IF(N(G204)&lt;=0,0,MIN(G204*(1+Plan!$C$14/12),Plan!$D$14+IF(Plan!$E$14=$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IF(N(H204)&lt;=0,0,MIN(H204*(1+Plan!$C$15/12),Plan!$D$15+IF(Plan!$E$15=$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IF(N(I204)&lt;=0,0,MIN(I204*(1+Plan!$C$16/12),Plan!$D$16+IF(Plan!$E$16=$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IF(N(J204)&lt;=0,0,MIN(J204*(1+Plan!$C$17/12),Plan!$D$17+IF(Plan!$E$17=$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IF(N(K204)&lt;=0,0,MIN(K204*(1+Plan!$C$18/12),Plan!$D$18+IF(Plan!$E$18=$L205,Plan!$B$5+IF(AND(N(Plan!$B$9)&gt;0,N(B204)&lt;=0),Plan!$D$9,0)+IF(AND(N(Plan!$B$10)&gt;0,N(C204)&lt;=0),Plan!$D$10,0)+IF(AND(N(Plan!$B$11)&gt;0,N(D204)&lt;=0),Plan!$D$11,0)+IF(AND(N(Plan!$B$12)&gt;0,N(E204)&lt;=0),Plan!$D$12,0)+IF(AND(N(Plan!$B$13)&gt;0,N(F204)&lt;=0),Plan!$D$13,0)+IF(AND(N(Plan!$B$14)&gt;0,N(G204)&lt;=0),Plan!$D$14,0)+IF(AND(N(Plan!$B$15)&gt;0,N(H204)&lt;=0),Plan!$D$15,0)+IF(AND(N(Plan!$B$16)&gt;0,N(I204)&lt;=0),Plan!$D$16,0)+IF(AND(N(Plan!$B$17)&gt;0,N(J204)&lt;=0),Plan!$D$17,0)+IF(AND(N(Plan!$B$18)&gt;0,N(K204)&lt;=0),Plan!$D$18,0),0)))</f>
        <v/>
      </c>
    </row>
    <row r="206">
      <c r="A206" s="17" t="n">
        <v>202</v>
      </c>
      <c r="B206" s="18">
        <f>IF(N(B205)&lt;=0,0,MAX(0,B205*(1+Plan!$C$9/12)-(Plan!$D$9+IF(Plan!$E$9=$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C206" s="18">
        <f>IF(N(C205)&lt;=0,0,MAX(0,C205*(1+Plan!$C$10/12)-(Plan!$D$10+IF(Plan!$E$10=$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D206" s="18">
        <f>IF(N(D205)&lt;=0,0,MAX(0,D205*(1+Plan!$C$11/12)-(Plan!$D$11+IF(Plan!$E$11=$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E206" s="18">
        <f>IF(N(E205)&lt;=0,0,MAX(0,E205*(1+Plan!$C$12/12)-(Plan!$D$12+IF(Plan!$E$12=$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F206" s="18">
        <f>IF(N(F205)&lt;=0,0,MAX(0,F205*(1+Plan!$C$13/12)-(Plan!$D$13+IF(Plan!$E$13=$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G206" s="18">
        <f>IF(N(G205)&lt;=0,0,MAX(0,G205*(1+Plan!$C$14/12)-(Plan!$D$14+IF(Plan!$E$14=$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H206" s="18">
        <f>IF(N(H205)&lt;=0,0,MAX(0,H205*(1+Plan!$C$15/12)-(Plan!$D$15+IF(Plan!$E$15=$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I206" s="18">
        <f>IF(N(I205)&lt;=0,0,MAX(0,I205*(1+Plan!$C$16/12)-(Plan!$D$16+IF(Plan!$E$16=$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J206" s="18">
        <f>IF(N(J205)&lt;=0,0,MAX(0,J205*(1+Plan!$C$17/12)-(Plan!$D$17+IF(Plan!$E$17=$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K206" s="18">
        <f>IF(N(K205)&lt;=0,0,MAX(0,K205*(1+Plan!$C$18/12)-(Plan!$D$18+IF(Plan!$E$18=$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c r="L206" s="19">
        <f>MIN(IF(N(B205)&gt;0,Plan!$E$9,999),IF(N(C205)&gt;0,Plan!$E$10,999),IF(N(D205)&gt;0,Plan!$E$11,999),IF(N(E205)&gt;0,Plan!$E$12,999),IF(N(F205)&gt;0,Plan!$E$13,999),IF(N(G205)&gt;0,Plan!$E$14,999),IF(N(H205)&gt;0,Plan!$E$15,999),IF(N(I205)&gt;0,Plan!$E$16,999),IF(N(J205)&gt;0,Plan!$E$17,999),IF(N(K205)&gt;0,Plan!$E$18,999))</f>
        <v/>
      </c>
      <c r="M206" s="18">
        <f>IF(N(B205)&lt;=0,0,MIN(B205*(1+Plan!$C$9/12),Plan!$D$9+IF(Plan!$E$9=$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IF(N(C205)&lt;=0,0,MIN(C205*(1+Plan!$C$10/12),Plan!$D$10+IF(Plan!$E$10=$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IF(N(D205)&lt;=0,0,MIN(D205*(1+Plan!$C$11/12),Plan!$D$11+IF(Plan!$E$11=$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IF(N(E205)&lt;=0,0,MIN(E205*(1+Plan!$C$12/12),Plan!$D$12+IF(Plan!$E$12=$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IF(N(F205)&lt;=0,0,MIN(F205*(1+Plan!$C$13/12),Plan!$D$13+IF(Plan!$E$13=$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IF(N(G205)&lt;=0,0,MIN(G205*(1+Plan!$C$14/12),Plan!$D$14+IF(Plan!$E$14=$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IF(N(H205)&lt;=0,0,MIN(H205*(1+Plan!$C$15/12),Plan!$D$15+IF(Plan!$E$15=$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IF(N(I205)&lt;=0,0,MIN(I205*(1+Plan!$C$16/12),Plan!$D$16+IF(Plan!$E$16=$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IF(N(J205)&lt;=0,0,MIN(J205*(1+Plan!$C$17/12),Plan!$D$17+IF(Plan!$E$17=$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IF(N(K205)&lt;=0,0,MIN(K205*(1+Plan!$C$18/12),Plan!$D$18+IF(Plan!$E$18=$L206,Plan!$B$5+IF(AND(N(Plan!$B$9)&gt;0,N(B205)&lt;=0),Plan!$D$9,0)+IF(AND(N(Plan!$B$10)&gt;0,N(C205)&lt;=0),Plan!$D$10,0)+IF(AND(N(Plan!$B$11)&gt;0,N(D205)&lt;=0),Plan!$D$11,0)+IF(AND(N(Plan!$B$12)&gt;0,N(E205)&lt;=0),Plan!$D$12,0)+IF(AND(N(Plan!$B$13)&gt;0,N(F205)&lt;=0),Plan!$D$13,0)+IF(AND(N(Plan!$B$14)&gt;0,N(G205)&lt;=0),Plan!$D$14,0)+IF(AND(N(Plan!$B$15)&gt;0,N(H205)&lt;=0),Plan!$D$15,0)+IF(AND(N(Plan!$B$16)&gt;0,N(I205)&lt;=0),Plan!$D$16,0)+IF(AND(N(Plan!$B$17)&gt;0,N(J205)&lt;=0),Plan!$D$17,0)+IF(AND(N(Plan!$B$18)&gt;0,N(K205)&lt;=0),Plan!$D$18,0),0)))</f>
        <v/>
      </c>
    </row>
    <row r="207">
      <c r="A207" s="17" t="n">
        <v>203</v>
      </c>
      <c r="B207" s="18">
        <f>IF(N(B206)&lt;=0,0,MAX(0,B206*(1+Plan!$C$9/12)-(Plan!$D$9+IF(Plan!$E$9=$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C207" s="18">
        <f>IF(N(C206)&lt;=0,0,MAX(0,C206*(1+Plan!$C$10/12)-(Plan!$D$10+IF(Plan!$E$10=$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D207" s="18">
        <f>IF(N(D206)&lt;=0,0,MAX(0,D206*(1+Plan!$C$11/12)-(Plan!$D$11+IF(Plan!$E$11=$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E207" s="18">
        <f>IF(N(E206)&lt;=0,0,MAX(0,E206*(1+Plan!$C$12/12)-(Plan!$D$12+IF(Plan!$E$12=$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F207" s="18">
        <f>IF(N(F206)&lt;=0,0,MAX(0,F206*(1+Plan!$C$13/12)-(Plan!$D$13+IF(Plan!$E$13=$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G207" s="18">
        <f>IF(N(G206)&lt;=0,0,MAX(0,G206*(1+Plan!$C$14/12)-(Plan!$D$14+IF(Plan!$E$14=$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H207" s="18">
        <f>IF(N(H206)&lt;=0,0,MAX(0,H206*(1+Plan!$C$15/12)-(Plan!$D$15+IF(Plan!$E$15=$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I207" s="18">
        <f>IF(N(I206)&lt;=0,0,MAX(0,I206*(1+Plan!$C$16/12)-(Plan!$D$16+IF(Plan!$E$16=$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J207" s="18">
        <f>IF(N(J206)&lt;=0,0,MAX(0,J206*(1+Plan!$C$17/12)-(Plan!$D$17+IF(Plan!$E$17=$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K207" s="18">
        <f>IF(N(K206)&lt;=0,0,MAX(0,K206*(1+Plan!$C$18/12)-(Plan!$D$18+IF(Plan!$E$18=$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c r="L207" s="19">
        <f>MIN(IF(N(B206)&gt;0,Plan!$E$9,999),IF(N(C206)&gt;0,Plan!$E$10,999),IF(N(D206)&gt;0,Plan!$E$11,999),IF(N(E206)&gt;0,Plan!$E$12,999),IF(N(F206)&gt;0,Plan!$E$13,999),IF(N(G206)&gt;0,Plan!$E$14,999),IF(N(H206)&gt;0,Plan!$E$15,999),IF(N(I206)&gt;0,Plan!$E$16,999),IF(N(J206)&gt;0,Plan!$E$17,999),IF(N(K206)&gt;0,Plan!$E$18,999))</f>
        <v/>
      </c>
      <c r="M207" s="18">
        <f>IF(N(B206)&lt;=0,0,MIN(B206*(1+Plan!$C$9/12),Plan!$D$9+IF(Plan!$E$9=$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IF(N(C206)&lt;=0,0,MIN(C206*(1+Plan!$C$10/12),Plan!$D$10+IF(Plan!$E$10=$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IF(N(D206)&lt;=0,0,MIN(D206*(1+Plan!$C$11/12),Plan!$D$11+IF(Plan!$E$11=$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IF(N(E206)&lt;=0,0,MIN(E206*(1+Plan!$C$12/12),Plan!$D$12+IF(Plan!$E$12=$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IF(N(F206)&lt;=0,0,MIN(F206*(1+Plan!$C$13/12),Plan!$D$13+IF(Plan!$E$13=$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IF(N(G206)&lt;=0,0,MIN(G206*(1+Plan!$C$14/12),Plan!$D$14+IF(Plan!$E$14=$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IF(N(H206)&lt;=0,0,MIN(H206*(1+Plan!$C$15/12),Plan!$D$15+IF(Plan!$E$15=$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IF(N(I206)&lt;=0,0,MIN(I206*(1+Plan!$C$16/12),Plan!$D$16+IF(Plan!$E$16=$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IF(N(J206)&lt;=0,0,MIN(J206*(1+Plan!$C$17/12),Plan!$D$17+IF(Plan!$E$17=$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IF(N(K206)&lt;=0,0,MIN(K206*(1+Plan!$C$18/12),Plan!$D$18+IF(Plan!$E$18=$L207,Plan!$B$5+IF(AND(N(Plan!$B$9)&gt;0,N(B206)&lt;=0),Plan!$D$9,0)+IF(AND(N(Plan!$B$10)&gt;0,N(C206)&lt;=0),Plan!$D$10,0)+IF(AND(N(Plan!$B$11)&gt;0,N(D206)&lt;=0),Plan!$D$11,0)+IF(AND(N(Plan!$B$12)&gt;0,N(E206)&lt;=0),Plan!$D$12,0)+IF(AND(N(Plan!$B$13)&gt;0,N(F206)&lt;=0),Plan!$D$13,0)+IF(AND(N(Plan!$B$14)&gt;0,N(G206)&lt;=0),Plan!$D$14,0)+IF(AND(N(Plan!$B$15)&gt;0,N(H206)&lt;=0),Plan!$D$15,0)+IF(AND(N(Plan!$B$16)&gt;0,N(I206)&lt;=0),Plan!$D$16,0)+IF(AND(N(Plan!$B$17)&gt;0,N(J206)&lt;=0),Plan!$D$17,0)+IF(AND(N(Plan!$B$18)&gt;0,N(K206)&lt;=0),Plan!$D$18,0),0)))</f>
        <v/>
      </c>
    </row>
    <row r="208">
      <c r="A208" s="17" t="n">
        <v>204</v>
      </c>
      <c r="B208" s="18">
        <f>IF(N(B207)&lt;=0,0,MAX(0,B207*(1+Plan!$C$9/12)-(Plan!$D$9+IF(Plan!$E$9=$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C208" s="18">
        <f>IF(N(C207)&lt;=0,0,MAX(0,C207*(1+Plan!$C$10/12)-(Plan!$D$10+IF(Plan!$E$10=$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D208" s="18">
        <f>IF(N(D207)&lt;=0,0,MAX(0,D207*(1+Plan!$C$11/12)-(Plan!$D$11+IF(Plan!$E$11=$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E208" s="18">
        <f>IF(N(E207)&lt;=0,0,MAX(0,E207*(1+Plan!$C$12/12)-(Plan!$D$12+IF(Plan!$E$12=$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F208" s="18">
        <f>IF(N(F207)&lt;=0,0,MAX(0,F207*(1+Plan!$C$13/12)-(Plan!$D$13+IF(Plan!$E$13=$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G208" s="18">
        <f>IF(N(G207)&lt;=0,0,MAX(0,G207*(1+Plan!$C$14/12)-(Plan!$D$14+IF(Plan!$E$14=$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H208" s="18">
        <f>IF(N(H207)&lt;=0,0,MAX(0,H207*(1+Plan!$C$15/12)-(Plan!$D$15+IF(Plan!$E$15=$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I208" s="18">
        <f>IF(N(I207)&lt;=0,0,MAX(0,I207*(1+Plan!$C$16/12)-(Plan!$D$16+IF(Plan!$E$16=$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J208" s="18">
        <f>IF(N(J207)&lt;=0,0,MAX(0,J207*(1+Plan!$C$17/12)-(Plan!$D$17+IF(Plan!$E$17=$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K208" s="18">
        <f>IF(N(K207)&lt;=0,0,MAX(0,K207*(1+Plan!$C$18/12)-(Plan!$D$18+IF(Plan!$E$18=$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c r="L208" s="19">
        <f>MIN(IF(N(B207)&gt;0,Plan!$E$9,999),IF(N(C207)&gt;0,Plan!$E$10,999),IF(N(D207)&gt;0,Plan!$E$11,999),IF(N(E207)&gt;0,Plan!$E$12,999),IF(N(F207)&gt;0,Plan!$E$13,999),IF(N(G207)&gt;0,Plan!$E$14,999),IF(N(H207)&gt;0,Plan!$E$15,999),IF(N(I207)&gt;0,Plan!$E$16,999),IF(N(J207)&gt;0,Plan!$E$17,999),IF(N(K207)&gt;0,Plan!$E$18,999))</f>
        <v/>
      </c>
      <c r="M208" s="18">
        <f>IF(N(B207)&lt;=0,0,MIN(B207*(1+Plan!$C$9/12),Plan!$D$9+IF(Plan!$E$9=$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IF(N(C207)&lt;=0,0,MIN(C207*(1+Plan!$C$10/12),Plan!$D$10+IF(Plan!$E$10=$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IF(N(D207)&lt;=0,0,MIN(D207*(1+Plan!$C$11/12),Plan!$D$11+IF(Plan!$E$11=$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IF(N(E207)&lt;=0,0,MIN(E207*(1+Plan!$C$12/12),Plan!$D$12+IF(Plan!$E$12=$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IF(N(F207)&lt;=0,0,MIN(F207*(1+Plan!$C$13/12),Plan!$D$13+IF(Plan!$E$13=$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IF(N(G207)&lt;=0,0,MIN(G207*(1+Plan!$C$14/12),Plan!$D$14+IF(Plan!$E$14=$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IF(N(H207)&lt;=0,0,MIN(H207*(1+Plan!$C$15/12),Plan!$D$15+IF(Plan!$E$15=$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IF(N(I207)&lt;=0,0,MIN(I207*(1+Plan!$C$16/12),Plan!$D$16+IF(Plan!$E$16=$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IF(N(J207)&lt;=0,0,MIN(J207*(1+Plan!$C$17/12),Plan!$D$17+IF(Plan!$E$17=$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IF(N(K207)&lt;=0,0,MIN(K207*(1+Plan!$C$18/12),Plan!$D$18+IF(Plan!$E$18=$L208,Plan!$B$5+IF(AND(N(Plan!$B$9)&gt;0,N(B207)&lt;=0),Plan!$D$9,0)+IF(AND(N(Plan!$B$10)&gt;0,N(C207)&lt;=0),Plan!$D$10,0)+IF(AND(N(Plan!$B$11)&gt;0,N(D207)&lt;=0),Plan!$D$11,0)+IF(AND(N(Plan!$B$12)&gt;0,N(E207)&lt;=0),Plan!$D$12,0)+IF(AND(N(Plan!$B$13)&gt;0,N(F207)&lt;=0),Plan!$D$13,0)+IF(AND(N(Plan!$B$14)&gt;0,N(G207)&lt;=0),Plan!$D$14,0)+IF(AND(N(Plan!$B$15)&gt;0,N(H207)&lt;=0),Plan!$D$15,0)+IF(AND(N(Plan!$B$16)&gt;0,N(I207)&lt;=0),Plan!$D$16,0)+IF(AND(N(Plan!$B$17)&gt;0,N(J207)&lt;=0),Plan!$D$17,0)+IF(AND(N(Plan!$B$18)&gt;0,N(K207)&lt;=0),Plan!$D$18,0),0)))</f>
        <v/>
      </c>
    </row>
    <row r="209">
      <c r="A209" s="17" t="n">
        <v>205</v>
      </c>
      <c r="B209" s="18">
        <f>IF(N(B208)&lt;=0,0,MAX(0,B208*(1+Plan!$C$9/12)-(Plan!$D$9+IF(Plan!$E$9=$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C209" s="18">
        <f>IF(N(C208)&lt;=0,0,MAX(0,C208*(1+Plan!$C$10/12)-(Plan!$D$10+IF(Plan!$E$10=$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D209" s="18">
        <f>IF(N(D208)&lt;=0,0,MAX(0,D208*(1+Plan!$C$11/12)-(Plan!$D$11+IF(Plan!$E$11=$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E209" s="18">
        <f>IF(N(E208)&lt;=0,0,MAX(0,E208*(1+Plan!$C$12/12)-(Plan!$D$12+IF(Plan!$E$12=$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F209" s="18">
        <f>IF(N(F208)&lt;=0,0,MAX(0,F208*(1+Plan!$C$13/12)-(Plan!$D$13+IF(Plan!$E$13=$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G209" s="18">
        <f>IF(N(G208)&lt;=0,0,MAX(0,G208*(1+Plan!$C$14/12)-(Plan!$D$14+IF(Plan!$E$14=$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H209" s="18">
        <f>IF(N(H208)&lt;=0,0,MAX(0,H208*(1+Plan!$C$15/12)-(Plan!$D$15+IF(Plan!$E$15=$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I209" s="18">
        <f>IF(N(I208)&lt;=0,0,MAX(0,I208*(1+Plan!$C$16/12)-(Plan!$D$16+IF(Plan!$E$16=$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J209" s="18">
        <f>IF(N(J208)&lt;=0,0,MAX(0,J208*(1+Plan!$C$17/12)-(Plan!$D$17+IF(Plan!$E$17=$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K209" s="18">
        <f>IF(N(K208)&lt;=0,0,MAX(0,K208*(1+Plan!$C$18/12)-(Plan!$D$18+IF(Plan!$E$18=$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c r="L209" s="19">
        <f>MIN(IF(N(B208)&gt;0,Plan!$E$9,999),IF(N(C208)&gt;0,Plan!$E$10,999),IF(N(D208)&gt;0,Plan!$E$11,999),IF(N(E208)&gt;0,Plan!$E$12,999),IF(N(F208)&gt;0,Plan!$E$13,999),IF(N(G208)&gt;0,Plan!$E$14,999),IF(N(H208)&gt;0,Plan!$E$15,999),IF(N(I208)&gt;0,Plan!$E$16,999),IF(N(J208)&gt;0,Plan!$E$17,999),IF(N(K208)&gt;0,Plan!$E$18,999))</f>
        <v/>
      </c>
      <c r="M209" s="18">
        <f>IF(N(B208)&lt;=0,0,MIN(B208*(1+Plan!$C$9/12),Plan!$D$9+IF(Plan!$E$9=$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IF(N(C208)&lt;=0,0,MIN(C208*(1+Plan!$C$10/12),Plan!$D$10+IF(Plan!$E$10=$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IF(N(D208)&lt;=0,0,MIN(D208*(1+Plan!$C$11/12),Plan!$D$11+IF(Plan!$E$11=$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IF(N(E208)&lt;=0,0,MIN(E208*(1+Plan!$C$12/12),Plan!$D$12+IF(Plan!$E$12=$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IF(N(F208)&lt;=0,0,MIN(F208*(1+Plan!$C$13/12),Plan!$D$13+IF(Plan!$E$13=$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IF(N(G208)&lt;=0,0,MIN(G208*(1+Plan!$C$14/12),Plan!$D$14+IF(Plan!$E$14=$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IF(N(H208)&lt;=0,0,MIN(H208*(1+Plan!$C$15/12),Plan!$D$15+IF(Plan!$E$15=$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IF(N(I208)&lt;=0,0,MIN(I208*(1+Plan!$C$16/12),Plan!$D$16+IF(Plan!$E$16=$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IF(N(J208)&lt;=0,0,MIN(J208*(1+Plan!$C$17/12),Plan!$D$17+IF(Plan!$E$17=$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IF(N(K208)&lt;=0,0,MIN(K208*(1+Plan!$C$18/12),Plan!$D$18+IF(Plan!$E$18=$L209,Plan!$B$5+IF(AND(N(Plan!$B$9)&gt;0,N(B208)&lt;=0),Plan!$D$9,0)+IF(AND(N(Plan!$B$10)&gt;0,N(C208)&lt;=0),Plan!$D$10,0)+IF(AND(N(Plan!$B$11)&gt;0,N(D208)&lt;=0),Plan!$D$11,0)+IF(AND(N(Plan!$B$12)&gt;0,N(E208)&lt;=0),Plan!$D$12,0)+IF(AND(N(Plan!$B$13)&gt;0,N(F208)&lt;=0),Plan!$D$13,0)+IF(AND(N(Plan!$B$14)&gt;0,N(G208)&lt;=0),Plan!$D$14,0)+IF(AND(N(Plan!$B$15)&gt;0,N(H208)&lt;=0),Plan!$D$15,0)+IF(AND(N(Plan!$B$16)&gt;0,N(I208)&lt;=0),Plan!$D$16,0)+IF(AND(N(Plan!$B$17)&gt;0,N(J208)&lt;=0),Plan!$D$17,0)+IF(AND(N(Plan!$B$18)&gt;0,N(K208)&lt;=0),Plan!$D$18,0),0)))</f>
        <v/>
      </c>
    </row>
    <row r="210">
      <c r="A210" s="17" t="n">
        <v>206</v>
      </c>
      <c r="B210" s="18">
        <f>IF(N(B209)&lt;=0,0,MAX(0,B209*(1+Plan!$C$9/12)-(Plan!$D$9+IF(Plan!$E$9=$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C210" s="18">
        <f>IF(N(C209)&lt;=0,0,MAX(0,C209*(1+Plan!$C$10/12)-(Plan!$D$10+IF(Plan!$E$10=$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D210" s="18">
        <f>IF(N(D209)&lt;=0,0,MAX(0,D209*(1+Plan!$C$11/12)-(Plan!$D$11+IF(Plan!$E$11=$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E210" s="18">
        <f>IF(N(E209)&lt;=0,0,MAX(0,E209*(1+Plan!$C$12/12)-(Plan!$D$12+IF(Plan!$E$12=$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F210" s="18">
        <f>IF(N(F209)&lt;=0,0,MAX(0,F209*(1+Plan!$C$13/12)-(Plan!$D$13+IF(Plan!$E$13=$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G210" s="18">
        <f>IF(N(G209)&lt;=0,0,MAX(0,G209*(1+Plan!$C$14/12)-(Plan!$D$14+IF(Plan!$E$14=$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H210" s="18">
        <f>IF(N(H209)&lt;=0,0,MAX(0,H209*(1+Plan!$C$15/12)-(Plan!$D$15+IF(Plan!$E$15=$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I210" s="18">
        <f>IF(N(I209)&lt;=0,0,MAX(0,I209*(1+Plan!$C$16/12)-(Plan!$D$16+IF(Plan!$E$16=$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J210" s="18">
        <f>IF(N(J209)&lt;=0,0,MAX(0,J209*(1+Plan!$C$17/12)-(Plan!$D$17+IF(Plan!$E$17=$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K210" s="18">
        <f>IF(N(K209)&lt;=0,0,MAX(0,K209*(1+Plan!$C$18/12)-(Plan!$D$18+IF(Plan!$E$18=$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c r="L210" s="19">
        <f>MIN(IF(N(B209)&gt;0,Plan!$E$9,999),IF(N(C209)&gt;0,Plan!$E$10,999),IF(N(D209)&gt;0,Plan!$E$11,999),IF(N(E209)&gt;0,Plan!$E$12,999),IF(N(F209)&gt;0,Plan!$E$13,999),IF(N(G209)&gt;0,Plan!$E$14,999),IF(N(H209)&gt;0,Plan!$E$15,999),IF(N(I209)&gt;0,Plan!$E$16,999),IF(N(J209)&gt;0,Plan!$E$17,999),IF(N(K209)&gt;0,Plan!$E$18,999))</f>
        <v/>
      </c>
      <c r="M210" s="18">
        <f>IF(N(B209)&lt;=0,0,MIN(B209*(1+Plan!$C$9/12),Plan!$D$9+IF(Plan!$E$9=$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IF(N(C209)&lt;=0,0,MIN(C209*(1+Plan!$C$10/12),Plan!$D$10+IF(Plan!$E$10=$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IF(N(D209)&lt;=0,0,MIN(D209*(1+Plan!$C$11/12),Plan!$D$11+IF(Plan!$E$11=$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IF(N(E209)&lt;=0,0,MIN(E209*(1+Plan!$C$12/12),Plan!$D$12+IF(Plan!$E$12=$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IF(N(F209)&lt;=0,0,MIN(F209*(1+Plan!$C$13/12),Plan!$D$13+IF(Plan!$E$13=$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IF(N(G209)&lt;=0,0,MIN(G209*(1+Plan!$C$14/12),Plan!$D$14+IF(Plan!$E$14=$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IF(N(H209)&lt;=0,0,MIN(H209*(1+Plan!$C$15/12),Plan!$D$15+IF(Plan!$E$15=$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IF(N(I209)&lt;=0,0,MIN(I209*(1+Plan!$C$16/12),Plan!$D$16+IF(Plan!$E$16=$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IF(N(J209)&lt;=0,0,MIN(J209*(1+Plan!$C$17/12),Plan!$D$17+IF(Plan!$E$17=$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IF(N(K209)&lt;=0,0,MIN(K209*(1+Plan!$C$18/12),Plan!$D$18+IF(Plan!$E$18=$L210,Plan!$B$5+IF(AND(N(Plan!$B$9)&gt;0,N(B209)&lt;=0),Plan!$D$9,0)+IF(AND(N(Plan!$B$10)&gt;0,N(C209)&lt;=0),Plan!$D$10,0)+IF(AND(N(Plan!$B$11)&gt;0,N(D209)&lt;=0),Plan!$D$11,0)+IF(AND(N(Plan!$B$12)&gt;0,N(E209)&lt;=0),Plan!$D$12,0)+IF(AND(N(Plan!$B$13)&gt;0,N(F209)&lt;=0),Plan!$D$13,0)+IF(AND(N(Plan!$B$14)&gt;0,N(G209)&lt;=0),Plan!$D$14,0)+IF(AND(N(Plan!$B$15)&gt;0,N(H209)&lt;=0),Plan!$D$15,0)+IF(AND(N(Plan!$B$16)&gt;0,N(I209)&lt;=0),Plan!$D$16,0)+IF(AND(N(Plan!$B$17)&gt;0,N(J209)&lt;=0),Plan!$D$17,0)+IF(AND(N(Plan!$B$18)&gt;0,N(K209)&lt;=0),Plan!$D$18,0),0)))</f>
        <v/>
      </c>
    </row>
    <row r="211">
      <c r="A211" s="17" t="n">
        <v>207</v>
      </c>
      <c r="B211" s="18">
        <f>IF(N(B210)&lt;=0,0,MAX(0,B210*(1+Plan!$C$9/12)-(Plan!$D$9+IF(Plan!$E$9=$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C211" s="18">
        <f>IF(N(C210)&lt;=0,0,MAX(0,C210*(1+Plan!$C$10/12)-(Plan!$D$10+IF(Plan!$E$10=$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D211" s="18">
        <f>IF(N(D210)&lt;=0,0,MAX(0,D210*(1+Plan!$C$11/12)-(Plan!$D$11+IF(Plan!$E$11=$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E211" s="18">
        <f>IF(N(E210)&lt;=0,0,MAX(0,E210*(1+Plan!$C$12/12)-(Plan!$D$12+IF(Plan!$E$12=$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F211" s="18">
        <f>IF(N(F210)&lt;=0,0,MAX(0,F210*(1+Plan!$C$13/12)-(Plan!$D$13+IF(Plan!$E$13=$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G211" s="18">
        <f>IF(N(G210)&lt;=0,0,MAX(0,G210*(1+Plan!$C$14/12)-(Plan!$D$14+IF(Plan!$E$14=$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H211" s="18">
        <f>IF(N(H210)&lt;=0,0,MAX(0,H210*(1+Plan!$C$15/12)-(Plan!$D$15+IF(Plan!$E$15=$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I211" s="18">
        <f>IF(N(I210)&lt;=0,0,MAX(0,I210*(1+Plan!$C$16/12)-(Plan!$D$16+IF(Plan!$E$16=$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J211" s="18">
        <f>IF(N(J210)&lt;=0,0,MAX(0,J210*(1+Plan!$C$17/12)-(Plan!$D$17+IF(Plan!$E$17=$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K211" s="18">
        <f>IF(N(K210)&lt;=0,0,MAX(0,K210*(1+Plan!$C$18/12)-(Plan!$D$18+IF(Plan!$E$18=$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c r="L211" s="19">
        <f>MIN(IF(N(B210)&gt;0,Plan!$E$9,999),IF(N(C210)&gt;0,Plan!$E$10,999),IF(N(D210)&gt;0,Plan!$E$11,999),IF(N(E210)&gt;0,Plan!$E$12,999),IF(N(F210)&gt;0,Plan!$E$13,999),IF(N(G210)&gt;0,Plan!$E$14,999),IF(N(H210)&gt;0,Plan!$E$15,999),IF(N(I210)&gt;0,Plan!$E$16,999),IF(N(J210)&gt;0,Plan!$E$17,999),IF(N(K210)&gt;0,Plan!$E$18,999))</f>
        <v/>
      </c>
      <c r="M211" s="18">
        <f>IF(N(B210)&lt;=0,0,MIN(B210*(1+Plan!$C$9/12),Plan!$D$9+IF(Plan!$E$9=$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IF(N(C210)&lt;=0,0,MIN(C210*(1+Plan!$C$10/12),Plan!$D$10+IF(Plan!$E$10=$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IF(N(D210)&lt;=0,0,MIN(D210*(1+Plan!$C$11/12),Plan!$D$11+IF(Plan!$E$11=$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IF(N(E210)&lt;=0,0,MIN(E210*(1+Plan!$C$12/12),Plan!$D$12+IF(Plan!$E$12=$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IF(N(F210)&lt;=0,0,MIN(F210*(1+Plan!$C$13/12),Plan!$D$13+IF(Plan!$E$13=$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IF(N(G210)&lt;=0,0,MIN(G210*(1+Plan!$C$14/12),Plan!$D$14+IF(Plan!$E$14=$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IF(N(H210)&lt;=0,0,MIN(H210*(1+Plan!$C$15/12),Plan!$D$15+IF(Plan!$E$15=$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IF(N(I210)&lt;=0,0,MIN(I210*(1+Plan!$C$16/12),Plan!$D$16+IF(Plan!$E$16=$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IF(N(J210)&lt;=0,0,MIN(J210*(1+Plan!$C$17/12),Plan!$D$17+IF(Plan!$E$17=$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IF(N(K210)&lt;=0,0,MIN(K210*(1+Plan!$C$18/12),Plan!$D$18+IF(Plan!$E$18=$L211,Plan!$B$5+IF(AND(N(Plan!$B$9)&gt;0,N(B210)&lt;=0),Plan!$D$9,0)+IF(AND(N(Plan!$B$10)&gt;0,N(C210)&lt;=0),Plan!$D$10,0)+IF(AND(N(Plan!$B$11)&gt;0,N(D210)&lt;=0),Plan!$D$11,0)+IF(AND(N(Plan!$B$12)&gt;0,N(E210)&lt;=0),Plan!$D$12,0)+IF(AND(N(Plan!$B$13)&gt;0,N(F210)&lt;=0),Plan!$D$13,0)+IF(AND(N(Plan!$B$14)&gt;0,N(G210)&lt;=0),Plan!$D$14,0)+IF(AND(N(Plan!$B$15)&gt;0,N(H210)&lt;=0),Plan!$D$15,0)+IF(AND(N(Plan!$B$16)&gt;0,N(I210)&lt;=0),Plan!$D$16,0)+IF(AND(N(Plan!$B$17)&gt;0,N(J210)&lt;=0),Plan!$D$17,0)+IF(AND(N(Plan!$B$18)&gt;0,N(K210)&lt;=0),Plan!$D$18,0),0)))</f>
        <v/>
      </c>
    </row>
    <row r="212">
      <c r="A212" s="17" t="n">
        <v>208</v>
      </c>
      <c r="B212" s="18">
        <f>IF(N(B211)&lt;=0,0,MAX(0,B211*(1+Plan!$C$9/12)-(Plan!$D$9+IF(Plan!$E$9=$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C212" s="18">
        <f>IF(N(C211)&lt;=0,0,MAX(0,C211*(1+Plan!$C$10/12)-(Plan!$D$10+IF(Plan!$E$10=$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D212" s="18">
        <f>IF(N(D211)&lt;=0,0,MAX(0,D211*(1+Plan!$C$11/12)-(Plan!$D$11+IF(Plan!$E$11=$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E212" s="18">
        <f>IF(N(E211)&lt;=0,0,MAX(0,E211*(1+Plan!$C$12/12)-(Plan!$D$12+IF(Plan!$E$12=$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F212" s="18">
        <f>IF(N(F211)&lt;=0,0,MAX(0,F211*(1+Plan!$C$13/12)-(Plan!$D$13+IF(Plan!$E$13=$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G212" s="18">
        <f>IF(N(G211)&lt;=0,0,MAX(0,G211*(1+Plan!$C$14/12)-(Plan!$D$14+IF(Plan!$E$14=$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H212" s="18">
        <f>IF(N(H211)&lt;=0,0,MAX(0,H211*(1+Plan!$C$15/12)-(Plan!$D$15+IF(Plan!$E$15=$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I212" s="18">
        <f>IF(N(I211)&lt;=0,0,MAX(0,I211*(1+Plan!$C$16/12)-(Plan!$D$16+IF(Plan!$E$16=$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J212" s="18">
        <f>IF(N(J211)&lt;=0,0,MAX(0,J211*(1+Plan!$C$17/12)-(Plan!$D$17+IF(Plan!$E$17=$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K212" s="18">
        <f>IF(N(K211)&lt;=0,0,MAX(0,K211*(1+Plan!$C$18/12)-(Plan!$D$18+IF(Plan!$E$18=$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c r="L212" s="19">
        <f>MIN(IF(N(B211)&gt;0,Plan!$E$9,999),IF(N(C211)&gt;0,Plan!$E$10,999),IF(N(D211)&gt;0,Plan!$E$11,999),IF(N(E211)&gt;0,Plan!$E$12,999),IF(N(F211)&gt;0,Plan!$E$13,999),IF(N(G211)&gt;0,Plan!$E$14,999),IF(N(H211)&gt;0,Plan!$E$15,999),IF(N(I211)&gt;0,Plan!$E$16,999),IF(N(J211)&gt;0,Plan!$E$17,999),IF(N(K211)&gt;0,Plan!$E$18,999))</f>
        <v/>
      </c>
      <c r="M212" s="18">
        <f>IF(N(B211)&lt;=0,0,MIN(B211*(1+Plan!$C$9/12),Plan!$D$9+IF(Plan!$E$9=$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IF(N(C211)&lt;=0,0,MIN(C211*(1+Plan!$C$10/12),Plan!$D$10+IF(Plan!$E$10=$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IF(N(D211)&lt;=0,0,MIN(D211*(1+Plan!$C$11/12),Plan!$D$11+IF(Plan!$E$11=$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IF(N(E211)&lt;=0,0,MIN(E211*(1+Plan!$C$12/12),Plan!$D$12+IF(Plan!$E$12=$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IF(N(F211)&lt;=0,0,MIN(F211*(1+Plan!$C$13/12),Plan!$D$13+IF(Plan!$E$13=$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IF(N(G211)&lt;=0,0,MIN(G211*(1+Plan!$C$14/12),Plan!$D$14+IF(Plan!$E$14=$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IF(N(H211)&lt;=0,0,MIN(H211*(1+Plan!$C$15/12),Plan!$D$15+IF(Plan!$E$15=$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IF(N(I211)&lt;=0,0,MIN(I211*(1+Plan!$C$16/12),Plan!$D$16+IF(Plan!$E$16=$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IF(N(J211)&lt;=0,0,MIN(J211*(1+Plan!$C$17/12),Plan!$D$17+IF(Plan!$E$17=$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IF(N(K211)&lt;=0,0,MIN(K211*(1+Plan!$C$18/12),Plan!$D$18+IF(Plan!$E$18=$L212,Plan!$B$5+IF(AND(N(Plan!$B$9)&gt;0,N(B211)&lt;=0),Plan!$D$9,0)+IF(AND(N(Plan!$B$10)&gt;0,N(C211)&lt;=0),Plan!$D$10,0)+IF(AND(N(Plan!$B$11)&gt;0,N(D211)&lt;=0),Plan!$D$11,0)+IF(AND(N(Plan!$B$12)&gt;0,N(E211)&lt;=0),Plan!$D$12,0)+IF(AND(N(Plan!$B$13)&gt;0,N(F211)&lt;=0),Plan!$D$13,0)+IF(AND(N(Plan!$B$14)&gt;0,N(G211)&lt;=0),Plan!$D$14,0)+IF(AND(N(Plan!$B$15)&gt;0,N(H211)&lt;=0),Plan!$D$15,0)+IF(AND(N(Plan!$B$16)&gt;0,N(I211)&lt;=0),Plan!$D$16,0)+IF(AND(N(Plan!$B$17)&gt;0,N(J211)&lt;=0),Plan!$D$17,0)+IF(AND(N(Plan!$B$18)&gt;0,N(K211)&lt;=0),Plan!$D$18,0),0)))</f>
        <v/>
      </c>
    </row>
    <row r="213">
      <c r="A213" s="17" t="n">
        <v>209</v>
      </c>
      <c r="B213" s="18">
        <f>IF(N(B212)&lt;=0,0,MAX(0,B212*(1+Plan!$C$9/12)-(Plan!$D$9+IF(Plan!$E$9=$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C213" s="18">
        <f>IF(N(C212)&lt;=0,0,MAX(0,C212*(1+Plan!$C$10/12)-(Plan!$D$10+IF(Plan!$E$10=$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D213" s="18">
        <f>IF(N(D212)&lt;=0,0,MAX(0,D212*(1+Plan!$C$11/12)-(Plan!$D$11+IF(Plan!$E$11=$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E213" s="18">
        <f>IF(N(E212)&lt;=0,0,MAX(0,E212*(1+Plan!$C$12/12)-(Plan!$D$12+IF(Plan!$E$12=$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F213" s="18">
        <f>IF(N(F212)&lt;=0,0,MAX(0,F212*(1+Plan!$C$13/12)-(Plan!$D$13+IF(Plan!$E$13=$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G213" s="18">
        <f>IF(N(G212)&lt;=0,0,MAX(0,G212*(1+Plan!$C$14/12)-(Plan!$D$14+IF(Plan!$E$14=$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H213" s="18">
        <f>IF(N(H212)&lt;=0,0,MAX(0,H212*(1+Plan!$C$15/12)-(Plan!$D$15+IF(Plan!$E$15=$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I213" s="18">
        <f>IF(N(I212)&lt;=0,0,MAX(0,I212*(1+Plan!$C$16/12)-(Plan!$D$16+IF(Plan!$E$16=$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J213" s="18">
        <f>IF(N(J212)&lt;=0,0,MAX(0,J212*(1+Plan!$C$17/12)-(Plan!$D$17+IF(Plan!$E$17=$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K213" s="18">
        <f>IF(N(K212)&lt;=0,0,MAX(0,K212*(1+Plan!$C$18/12)-(Plan!$D$18+IF(Plan!$E$18=$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c r="L213" s="19">
        <f>MIN(IF(N(B212)&gt;0,Plan!$E$9,999),IF(N(C212)&gt;0,Plan!$E$10,999),IF(N(D212)&gt;0,Plan!$E$11,999),IF(N(E212)&gt;0,Plan!$E$12,999),IF(N(F212)&gt;0,Plan!$E$13,999),IF(N(G212)&gt;0,Plan!$E$14,999),IF(N(H212)&gt;0,Plan!$E$15,999),IF(N(I212)&gt;0,Plan!$E$16,999),IF(N(J212)&gt;0,Plan!$E$17,999),IF(N(K212)&gt;0,Plan!$E$18,999))</f>
        <v/>
      </c>
      <c r="M213" s="18">
        <f>IF(N(B212)&lt;=0,0,MIN(B212*(1+Plan!$C$9/12),Plan!$D$9+IF(Plan!$E$9=$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IF(N(C212)&lt;=0,0,MIN(C212*(1+Plan!$C$10/12),Plan!$D$10+IF(Plan!$E$10=$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IF(N(D212)&lt;=0,0,MIN(D212*(1+Plan!$C$11/12),Plan!$D$11+IF(Plan!$E$11=$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IF(N(E212)&lt;=0,0,MIN(E212*(1+Plan!$C$12/12),Plan!$D$12+IF(Plan!$E$12=$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IF(N(F212)&lt;=0,0,MIN(F212*(1+Plan!$C$13/12),Plan!$D$13+IF(Plan!$E$13=$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IF(N(G212)&lt;=0,0,MIN(G212*(1+Plan!$C$14/12),Plan!$D$14+IF(Plan!$E$14=$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IF(N(H212)&lt;=0,0,MIN(H212*(1+Plan!$C$15/12),Plan!$D$15+IF(Plan!$E$15=$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IF(N(I212)&lt;=0,0,MIN(I212*(1+Plan!$C$16/12),Plan!$D$16+IF(Plan!$E$16=$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IF(N(J212)&lt;=0,0,MIN(J212*(1+Plan!$C$17/12),Plan!$D$17+IF(Plan!$E$17=$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IF(N(K212)&lt;=0,0,MIN(K212*(1+Plan!$C$18/12),Plan!$D$18+IF(Plan!$E$18=$L213,Plan!$B$5+IF(AND(N(Plan!$B$9)&gt;0,N(B212)&lt;=0),Plan!$D$9,0)+IF(AND(N(Plan!$B$10)&gt;0,N(C212)&lt;=0),Plan!$D$10,0)+IF(AND(N(Plan!$B$11)&gt;0,N(D212)&lt;=0),Plan!$D$11,0)+IF(AND(N(Plan!$B$12)&gt;0,N(E212)&lt;=0),Plan!$D$12,0)+IF(AND(N(Plan!$B$13)&gt;0,N(F212)&lt;=0),Plan!$D$13,0)+IF(AND(N(Plan!$B$14)&gt;0,N(G212)&lt;=0),Plan!$D$14,0)+IF(AND(N(Plan!$B$15)&gt;0,N(H212)&lt;=0),Plan!$D$15,0)+IF(AND(N(Plan!$B$16)&gt;0,N(I212)&lt;=0),Plan!$D$16,0)+IF(AND(N(Plan!$B$17)&gt;0,N(J212)&lt;=0),Plan!$D$17,0)+IF(AND(N(Plan!$B$18)&gt;0,N(K212)&lt;=0),Plan!$D$18,0),0)))</f>
        <v/>
      </c>
    </row>
    <row r="214">
      <c r="A214" s="17" t="n">
        <v>210</v>
      </c>
      <c r="B214" s="18">
        <f>IF(N(B213)&lt;=0,0,MAX(0,B213*(1+Plan!$C$9/12)-(Plan!$D$9+IF(Plan!$E$9=$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C214" s="18">
        <f>IF(N(C213)&lt;=0,0,MAX(0,C213*(1+Plan!$C$10/12)-(Plan!$D$10+IF(Plan!$E$10=$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D214" s="18">
        <f>IF(N(D213)&lt;=0,0,MAX(0,D213*(1+Plan!$C$11/12)-(Plan!$D$11+IF(Plan!$E$11=$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E214" s="18">
        <f>IF(N(E213)&lt;=0,0,MAX(0,E213*(1+Plan!$C$12/12)-(Plan!$D$12+IF(Plan!$E$12=$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F214" s="18">
        <f>IF(N(F213)&lt;=0,0,MAX(0,F213*(1+Plan!$C$13/12)-(Plan!$D$13+IF(Plan!$E$13=$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G214" s="18">
        <f>IF(N(G213)&lt;=0,0,MAX(0,G213*(1+Plan!$C$14/12)-(Plan!$D$14+IF(Plan!$E$14=$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H214" s="18">
        <f>IF(N(H213)&lt;=0,0,MAX(0,H213*(1+Plan!$C$15/12)-(Plan!$D$15+IF(Plan!$E$15=$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I214" s="18">
        <f>IF(N(I213)&lt;=0,0,MAX(0,I213*(1+Plan!$C$16/12)-(Plan!$D$16+IF(Plan!$E$16=$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J214" s="18">
        <f>IF(N(J213)&lt;=0,0,MAX(0,J213*(1+Plan!$C$17/12)-(Plan!$D$17+IF(Plan!$E$17=$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K214" s="18">
        <f>IF(N(K213)&lt;=0,0,MAX(0,K213*(1+Plan!$C$18/12)-(Plan!$D$18+IF(Plan!$E$18=$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c r="L214" s="19">
        <f>MIN(IF(N(B213)&gt;0,Plan!$E$9,999),IF(N(C213)&gt;0,Plan!$E$10,999),IF(N(D213)&gt;0,Plan!$E$11,999),IF(N(E213)&gt;0,Plan!$E$12,999),IF(N(F213)&gt;0,Plan!$E$13,999),IF(N(G213)&gt;0,Plan!$E$14,999),IF(N(H213)&gt;0,Plan!$E$15,999),IF(N(I213)&gt;0,Plan!$E$16,999),IF(N(J213)&gt;0,Plan!$E$17,999),IF(N(K213)&gt;0,Plan!$E$18,999))</f>
        <v/>
      </c>
      <c r="M214" s="18">
        <f>IF(N(B213)&lt;=0,0,MIN(B213*(1+Plan!$C$9/12),Plan!$D$9+IF(Plan!$E$9=$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IF(N(C213)&lt;=0,0,MIN(C213*(1+Plan!$C$10/12),Plan!$D$10+IF(Plan!$E$10=$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IF(N(D213)&lt;=0,0,MIN(D213*(1+Plan!$C$11/12),Plan!$D$11+IF(Plan!$E$11=$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IF(N(E213)&lt;=0,0,MIN(E213*(1+Plan!$C$12/12),Plan!$D$12+IF(Plan!$E$12=$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IF(N(F213)&lt;=0,0,MIN(F213*(1+Plan!$C$13/12),Plan!$D$13+IF(Plan!$E$13=$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IF(N(G213)&lt;=0,0,MIN(G213*(1+Plan!$C$14/12),Plan!$D$14+IF(Plan!$E$14=$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IF(N(H213)&lt;=0,0,MIN(H213*(1+Plan!$C$15/12),Plan!$D$15+IF(Plan!$E$15=$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IF(N(I213)&lt;=0,0,MIN(I213*(1+Plan!$C$16/12),Plan!$D$16+IF(Plan!$E$16=$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IF(N(J213)&lt;=0,0,MIN(J213*(1+Plan!$C$17/12),Plan!$D$17+IF(Plan!$E$17=$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IF(N(K213)&lt;=0,0,MIN(K213*(1+Plan!$C$18/12),Plan!$D$18+IF(Plan!$E$18=$L214,Plan!$B$5+IF(AND(N(Plan!$B$9)&gt;0,N(B213)&lt;=0),Plan!$D$9,0)+IF(AND(N(Plan!$B$10)&gt;0,N(C213)&lt;=0),Plan!$D$10,0)+IF(AND(N(Plan!$B$11)&gt;0,N(D213)&lt;=0),Plan!$D$11,0)+IF(AND(N(Plan!$B$12)&gt;0,N(E213)&lt;=0),Plan!$D$12,0)+IF(AND(N(Plan!$B$13)&gt;0,N(F213)&lt;=0),Plan!$D$13,0)+IF(AND(N(Plan!$B$14)&gt;0,N(G213)&lt;=0),Plan!$D$14,0)+IF(AND(N(Plan!$B$15)&gt;0,N(H213)&lt;=0),Plan!$D$15,0)+IF(AND(N(Plan!$B$16)&gt;0,N(I213)&lt;=0),Plan!$D$16,0)+IF(AND(N(Plan!$B$17)&gt;0,N(J213)&lt;=0),Plan!$D$17,0)+IF(AND(N(Plan!$B$18)&gt;0,N(K213)&lt;=0),Plan!$D$18,0),0)))</f>
        <v/>
      </c>
    </row>
    <row r="215">
      <c r="A215" s="17" t="n">
        <v>211</v>
      </c>
      <c r="B215" s="18">
        <f>IF(N(B214)&lt;=0,0,MAX(0,B214*(1+Plan!$C$9/12)-(Plan!$D$9+IF(Plan!$E$9=$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C215" s="18">
        <f>IF(N(C214)&lt;=0,0,MAX(0,C214*(1+Plan!$C$10/12)-(Plan!$D$10+IF(Plan!$E$10=$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D215" s="18">
        <f>IF(N(D214)&lt;=0,0,MAX(0,D214*(1+Plan!$C$11/12)-(Plan!$D$11+IF(Plan!$E$11=$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E215" s="18">
        <f>IF(N(E214)&lt;=0,0,MAX(0,E214*(1+Plan!$C$12/12)-(Plan!$D$12+IF(Plan!$E$12=$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F215" s="18">
        <f>IF(N(F214)&lt;=0,0,MAX(0,F214*(1+Plan!$C$13/12)-(Plan!$D$13+IF(Plan!$E$13=$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G215" s="18">
        <f>IF(N(G214)&lt;=0,0,MAX(0,G214*(1+Plan!$C$14/12)-(Plan!$D$14+IF(Plan!$E$14=$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H215" s="18">
        <f>IF(N(H214)&lt;=0,0,MAX(0,H214*(1+Plan!$C$15/12)-(Plan!$D$15+IF(Plan!$E$15=$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I215" s="18">
        <f>IF(N(I214)&lt;=0,0,MAX(0,I214*(1+Plan!$C$16/12)-(Plan!$D$16+IF(Plan!$E$16=$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J215" s="18">
        <f>IF(N(J214)&lt;=0,0,MAX(0,J214*(1+Plan!$C$17/12)-(Plan!$D$17+IF(Plan!$E$17=$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K215" s="18">
        <f>IF(N(K214)&lt;=0,0,MAX(0,K214*(1+Plan!$C$18/12)-(Plan!$D$18+IF(Plan!$E$18=$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c r="L215" s="19">
        <f>MIN(IF(N(B214)&gt;0,Plan!$E$9,999),IF(N(C214)&gt;0,Plan!$E$10,999),IF(N(D214)&gt;0,Plan!$E$11,999),IF(N(E214)&gt;0,Plan!$E$12,999),IF(N(F214)&gt;0,Plan!$E$13,999),IF(N(G214)&gt;0,Plan!$E$14,999),IF(N(H214)&gt;0,Plan!$E$15,999),IF(N(I214)&gt;0,Plan!$E$16,999),IF(N(J214)&gt;0,Plan!$E$17,999),IF(N(K214)&gt;0,Plan!$E$18,999))</f>
        <v/>
      </c>
      <c r="M215" s="18">
        <f>IF(N(B214)&lt;=0,0,MIN(B214*(1+Plan!$C$9/12),Plan!$D$9+IF(Plan!$E$9=$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IF(N(C214)&lt;=0,0,MIN(C214*(1+Plan!$C$10/12),Plan!$D$10+IF(Plan!$E$10=$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IF(N(D214)&lt;=0,0,MIN(D214*(1+Plan!$C$11/12),Plan!$D$11+IF(Plan!$E$11=$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IF(N(E214)&lt;=0,0,MIN(E214*(1+Plan!$C$12/12),Plan!$D$12+IF(Plan!$E$12=$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IF(N(F214)&lt;=0,0,MIN(F214*(1+Plan!$C$13/12),Plan!$D$13+IF(Plan!$E$13=$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IF(N(G214)&lt;=0,0,MIN(G214*(1+Plan!$C$14/12),Plan!$D$14+IF(Plan!$E$14=$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IF(N(H214)&lt;=0,0,MIN(H214*(1+Plan!$C$15/12),Plan!$D$15+IF(Plan!$E$15=$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IF(N(I214)&lt;=0,0,MIN(I214*(1+Plan!$C$16/12),Plan!$D$16+IF(Plan!$E$16=$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IF(N(J214)&lt;=0,0,MIN(J214*(1+Plan!$C$17/12),Plan!$D$17+IF(Plan!$E$17=$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IF(N(K214)&lt;=0,0,MIN(K214*(1+Plan!$C$18/12),Plan!$D$18+IF(Plan!$E$18=$L215,Plan!$B$5+IF(AND(N(Plan!$B$9)&gt;0,N(B214)&lt;=0),Plan!$D$9,0)+IF(AND(N(Plan!$B$10)&gt;0,N(C214)&lt;=0),Plan!$D$10,0)+IF(AND(N(Plan!$B$11)&gt;0,N(D214)&lt;=0),Plan!$D$11,0)+IF(AND(N(Plan!$B$12)&gt;0,N(E214)&lt;=0),Plan!$D$12,0)+IF(AND(N(Plan!$B$13)&gt;0,N(F214)&lt;=0),Plan!$D$13,0)+IF(AND(N(Plan!$B$14)&gt;0,N(G214)&lt;=0),Plan!$D$14,0)+IF(AND(N(Plan!$B$15)&gt;0,N(H214)&lt;=0),Plan!$D$15,0)+IF(AND(N(Plan!$B$16)&gt;0,N(I214)&lt;=0),Plan!$D$16,0)+IF(AND(N(Plan!$B$17)&gt;0,N(J214)&lt;=0),Plan!$D$17,0)+IF(AND(N(Plan!$B$18)&gt;0,N(K214)&lt;=0),Plan!$D$18,0),0)))</f>
        <v/>
      </c>
    </row>
    <row r="216">
      <c r="A216" s="17" t="n">
        <v>212</v>
      </c>
      <c r="B216" s="18">
        <f>IF(N(B215)&lt;=0,0,MAX(0,B215*(1+Plan!$C$9/12)-(Plan!$D$9+IF(Plan!$E$9=$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C216" s="18">
        <f>IF(N(C215)&lt;=0,0,MAX(0,C215*(1+Plan!$C$10/12)-(Plan!$D$10+IF(Plan!$E$10=$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D216" s="18">
        <f>IF(N(D215)&lt;=0,0,MAX(0,D215*(1+Plan!$C$11/12)-(Plan!$D$11+IF(Plan!$E$11=$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E216" s="18">
        <f>IF(N(E215)&lt;=0,0,MAX(0,E215*(1+Plan!$C$12/12)-(Plan!$D$12+IF(Plan!$E$12=$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F216" s="18">
        <f>IF(N(F215)&lt;=0,0,MAX(0,F215*(1+Plan!$C$13/12)-(Plan!$D$13+IF(Plan!$E$13=$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G216" s="18">
        <f>IF(N(G215)&lt;=0,0,MAX(0,G215*(1+Plan!$C$14/12)-(Plan!$D$14+IF(Plan!$E$14=$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H216" s="18">
        <f>IF(N(H215)&lt;=0,0,MAX(0,H215*(1+Plan!$C$15/12)-(Plan!$D$15+IF(Plan!$E$15=$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I216" s="18">
        <f>IF(N(I215)&lt;=0,0,MAX(0,I215*(1+Plan!$C$16/12)-(Plan!$D$16+IF(Plan!$E$16=$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J216" s="18">
        <f>IF(N(J215)&lt;=0,0,MAX(0,J215*(1+Plan!$C$17/12)-(Plan!$D$17+IF(Plan!$E$17=$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K216" s="18">
        <f>IF(N(K215)&lt;=0,0,MAX(0,K215*(1+Plan!$C$18/12)-(Plan!$D$18+IF(Plan!$E$18=$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c r="L216" s="19">
        <f>MIN(IF(N(B215)&gt;0,Plan!$E$9,999),IF(N(C215)&gt;0,Plan!$E$10,999),IF(N(D215)&gt;0,Plan!$E$11,999),IF(N(E215)&gt;0,Plan!$E$12,999),IF(N(F215)&gt;0,Plan!$E$13,999),IF(N(G215)&gt;0,Plan!$E$14,999),IF(N(H215)&gt;0,Plan!$E$15,999),IF(N(I215)&gt;0,Plan!$E$16,999),IF(N(J215)&gt;0,Plan!$E$17,999),IF(N(K215)&gt;0,Plan!$E$18,999))</f>
        <v/>
      </c>
      <c r="M216" s="18">
        <f>IF(N(B215)&lt;=0,0,MIN(B215*(1+Plan!$C$9/12),Plan!$D$9+IF(Plan!$E$9=$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IF(N(C215)&lt;=0,0,MIN(C215*(1+Plan!$C$10/12),Plan!$D$10+IF(Plan!$E$10=$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IF(N(D215)&lt;=0,0,MIN(D215*(1+Plan!$C$11/12),Plan!$D$11+IF(Plan!$E$11=$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IF(N(E215)&lt;=0,0,MIN(E215*(1+Plan!$C$12/12),Plan!$D$12+IF(Plan!$E$12=$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IF(N(F215)&lt;=0,0,MIN(F215*(1+Plan!$C$13/12),Plan!$D$13+IF(Plan!$E$13=$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IF(N(G215)&lt;=0,0,MIN(G215*(1+Plan!$C$14/12),Plan!$D$14+IF(Plan!$E$14=$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IF(N(H215)&lt;=0,0,MIN(H215*(1+Plan!$C$15/12),Plan!$D$15+IF(Plan!$E$15=$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IF(N(I215)&lt;=0,0,MIN(I215*(1+Plan!$C$16/12),Plan!$D$16+IF(Plan!$E$16=$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IF(N(J215)&lt;=0,0,MIN(J215*(1+Plan!$C$17/12),Plan!$D$17+IF(Plan!$E$17=$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IF(N(K215)&lt;=0,0,MIN(K215*(1+Plan!$C$18/12),Plan!$D$18+IF(Plan!$E$18=$L216,Plan!$B$5+IF(AND(N(Plan!$B$9)&gt;0,N(B215)&lt;=0),Plan!$D$9,0)+IF(AND(N(Plan!$B$10)&gt;0,N(C215)&lt;=0),Plan!$D$10,0)+IF(AND(N(Plan!$B$11)&gt;0,N(D215)&lt;=0),Plan!$D$11,0)+IF(AND(N(Plan!$B$12)&gt;0,N(E215)&lt;=0),Plan!$D$12,0)+IF(AND(N(Plan!$B$13)&gt;0,N(F215)&lt;=0),Plan!$D$13,0)+IF(AND(N(Plan!$B$14)&gt;0,N(G215)&lt;=0),Plan!$D$14,0)+IF(AND(N(Plan!$B$15)&gt;0,N(H215)&lt;=0),Plan!$D$15,0)+IF(AND(N(Plan!$B$16)&gt;0,N(I215)&lt;=0),Plan!$D$16,0)+IF(AND(N(Plan!$B$17)&gt;0,N(J215)&lt;=0),Plan!$D$17,0)+IF(AND(N(Plan!$B$18)&gt;0,N(K215)&lt;=0),Plan!$D$18,0),0)))</f>
        <v/>
      </c>
    </row>
    <row r="217">
      <c r="A217" s="17" t="n">
        <v>213</v>
      </c>
      <c r="B217" s="18">
        <f>IF(N(B216)&lt;=0,0,MAX(0,B216*(1+Plan!$C$9/12)-(Plan!$D$9+IF(Plan!$E$9=$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C217" s="18">
        <f>IF(N(C216)&lt;=0,0,MAX(0,C216*(1+Plan!$C$10/12)-(Plan!$D$10+IF(Plan!$E$10=$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D217" s="18">
        <f>IF(N(D216)&lt;=0,0,MAX(0,D216*(1+Plan!$C$11/12)-(Plan!$D$11+IF(Plan!$E$11=$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E217" s="18">
        <f>IF(N(E216)&lt;=0,0,MAX(0,E216*(1+Plan!$C$12/12)-(Plan!$D$12+IF(Plan!$E$12=$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F217" s="18">
        <f>IF(N(F216)&lt;=0,0,MAX(0,F216*(1+Plan!$C$13/12)-(Plan!$D$13+IF(Plan!$E$13=$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G217" s="18">
        <f>IF(N(G216)&lt;=0,0,MAX(0,G216*(1+Plan!$C$14/12)-(Plan!$D$14+IF(Plan!$E$14=$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H217" s="18">
        <f>IF(N(H216)&lt;=0,0,MAX(0,H216*(1+Plan!$C$15/12)-(Plan!$D$15+IF(Plan!$E$15=$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I217" s="18">
        <f>IF(N(I216)&lt;=0,0,MAX(0,I216*(1+Plan!$C$16/12)-(Plan!$D$16+IF(Plan!$E$16=$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J217" s="18">
        <f>IF(N(J216)&lt;=0,0,MAX(0,J216*(1+Plan!$C$17/12)-(Plan!$D$17+IF(Plan!$E$17=$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K217" s="18">
        <f>IF(N(K216)&lt;=0,0,MAX(0,K216*(1+Plan!$C$18/12)-(Plan!$D$18+IF(Plan!$E$18=$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c r="L217" s="19">
        <f>MIN(IF(N(B216)&gt;0,Plan!$E$9,999),IF(N(C216)&gt;0,Plan!$E$10,999),IF(N(D216)&gt;0,Plan!$E$11,999),IF(N(E216)&gt;0,Plan!$E$12,999),IF(N(F216)&gt;0,Plan!$E$13,999),IF(N(G216)&gt;0,Plan!$E$14,999),IF(N(H216)&gt;0,Plan!$E$15,999),IF(N(I216)&gt;0,Plan!$E$16,999),IF(N(J216)&gt;0,Plan!$E$17,999),IF(N(K216)&gt;0,Plan!$E$18,999))</f>
        <v/>
      </c>
      <c r="M217" s="18">
        <f>IF(N(B216)&lt;=0,0,MIN(B216*(1+Plan!$C$9/12),Plan!$D$9+IF(Plan!$E$9=$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IF(N(C216)&lt;=0,0,MIN(C216*(1+Plan!$C$10/12),Plan!$D$10+IF(Plan!$E$10=$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IF(N(D216)&lt;=0,0,MIN(D216*(1+Plan!$C$11/12),Plan!$D$11+IF(Plan!$E$11=$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IF(N(E216)&lt;=0,0,MIN(E216*(1+Plan!$C$12/12),Plan!$D$12+IF(Plan!$E$12=$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IF(N(F216)&lt;=0,0,MIN(F216*(1+Plan!$C$13/12),Plan!$D$13+IF(Plan!$E$13=$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IF(N(G216)&lt;=0,0,MIN(G216*(1+Plan!$C$14/12),Plan!$D$14+IF(Plan!$E$14=$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IF(N(H216)&lt;=0,0,MIN(H216*(1+Plan!$C$15/12),Plan!$D$15+IF(Plan!$E$15=$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IF(N(I216)&lt;=0,0,MIN(I216*(1+Plan!$C$16/12),Plan!$D$16+IF(Plan!$E$16=$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IF(N(J216)&lt;=0,0,MIN(J216*(1+Plan!$C$17/12),Plan!$D$17+IF(Plan!$E$17=$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IF(N(K216)&lt;=0,0,MIN(K216*(1+Plan!$C$18/12),Plan!$D$18+IF(Plan!$E$18=$L217,Plan!$B$5+IF(AND(N(Plan!$B$9)&gt;0,N(B216)&lt;=0),Plan!$D$9,0)+IF(AND(N(Plan!$B$10)&gt;0,N(C216)&lt;=0),Plan!$D$10,0)+IF(AND(N(Plan!$B$11)&gt;0,N(D216)&lt;=0),Plan!$D$11,0)+IF(AND(N(Plan!$B$12)&gt;0,N(E216)&lt;=0),Plan!$D$12,0)+IF(AND(N(Plan!$B$13)&gt;0,N(F216)&lt;=0),Plan!$D$13,0)+IF(AND(N(Plan!$B$14)&gt;0,N(G216)&lt;=0),Plan!$D$14,0)+IF(AND(N(Plan!$B$15)&gt;0,N(H216)&lt;=0),Plan!$D$15,0)+IF(AND(N(Plan!$B$16)&gt;0,N(I216)&lt;=0),Plan!$D$16,0)+IF(AND(N(Plan!$B$17)&gt;0,N(J216)&lt;=0),Plan!$D$17,0)+IF(AND(N(Plan!$B$18)&gt;0,N(K216)&lt;=0),Plan!$D$18,0),0)))</f>
        <v/>
      </c>
    </row>
    <row r="218">
      <c r="A218" s="17" t="n">
        <v>214</v>
      </c>
      <c r="B218" s="18">
        <f>IF(N(B217)&lt;=0,0,MAX(0,B217*(1+Plan!$C$9/12)-(Plan!$D$9+IF(Plan!$E$9=$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C218" s="18">
        <f>IF(N(C217)&lt;=0,0,MAX(0,C217*(1+Plan!$C$10/12)-(Plan!$D$10+IF(Plan!$E$10=$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D218" s="18">
        <f>IF(N(D217)&lt;=0,0,MAX(0,D217*(1+Plan!$C$11/12)-(Plan!$D$11+IF(Plan!$E$11=$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E218" s="18">
        <f>IF(N(E217)&lt;=0,0,MAX(0,E217*(1+Plan!$C$12/12)-(Plan!$D$12+IF(Plan!$E$12=$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F218" s="18">
        <f>IF(N(F217)&lt;=0,0,MAX(0,F217*(1+Plan!$C$13/12)-(Plan!$D$13+IF(Plan!$E$13=$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G218" s="18">
        <f>IF(N(G217)&lt;=0,0,MAX(0,G217*(1+Plan!$C$14/12)-(Plan!$D$14+IF(Plan!$E$14=$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H218" s="18">
        <f>IF(N(H217)&lt;=0,0,MAX(0,H217*(1+Plan!$C$15/12)-(Plan!$D$15+IF(Plan!$E$15=$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I218" s="18">
        <f>IF(N(I217)&lt;=0,0,MAX(0,I217*(1+Plan!$C$16/12)-(Plan!$D$16+IF(Plan!$E$16=$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J218" s="18">
        <f>IF(N(J217)&lt;=0,0,MAX(0,J217*(1+Plan!$C$17/12)-(Plan!$D$17+IF(Plan!$E$17=$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K218" s="18">
        <f>IF(N(K217)&lt;=0,0,MAX(0,K217*(1+Plan!$C$18/12)-(Plan!$D$18+IF(Plan!$E$18=$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c r="L218" s="19">
        <f>MIN(IF(N(B217)&gt;0,Plan!$E$9,999),IF(N(C217)&gt;0,Plan!$E$10,999),IF(N(D217)&gt;0,Plan!$E$11,999),IF(N(E217)&gt;0,Plan!$E$12,999),IF(N(F217)&gt;0,Plan!$E$13,999),IF(N(G217)&gt;0,Plan!$E$14,999),IF(N(H217)&gt;0,Plan!$E$15,999),IF(N(I217)&gt;0,Plan!$E$16,999),IF(N(J217)&gt;0,Plan!$E$17,999),IF(N(K217)&gt;0,Plan!$E$18,999))</f>
        <v/>
      </c>
      <c r="M218" s="18">
        <f>IF(N(B217)&lt;=0,0,MIN(B217*(1+Plan!$C$9/12),Plan!$D$9+IF(Plan!$E$9=$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IF(N(C217)&lt;=0,0,MIN(C217*(1+Plan!$C$10/12),Plan!$D$10+IF(Plan!$E$10=$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IF(N(D217)&lt;=0,0,MIN(D217*(1+Plan!$C$11/12),Plan!$D$11+IF(Plan!$E$11=$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IF(N(E217)&lt;=0,0,MIN(E217*(1+Plan!$C$12/12),Plan!$D$12+IF(Plan!$E$12=$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IF(N(F217)&lt;=0,0,MIN(F217*(1+Plan!$C$13/12),Plan!$D$13+IF(Plan!$E$13=$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IF(N(G217)&lt;=0,0,MIN(G217*(1+Plan!$C$14/12),Plan!$D$14+IF(Plan!$E$14=$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IF(N(H217)&lt;=0,0,MIN(H217*(1+Plan!$C$15/12),Plan!$D$15+IF(Plan!$E$15=$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IF(N(I217)&lt;=0,0,MIN(I217*(1+Plan!$C$16/12),Plan!$D$16+IF(Plan!$E$16=$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IF(N(J217)&lt;=0,0,MIN(J217*(1+Plan!$C$17/12),Plan!$D$17+IF(Plan!$E$17=$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IF(N(K217)&lt;=0,0,MIN(K217*(1+Plan!$C$18/12),Plan!$D$18+IF(Plan!$E$18=$L218,Plan!$B$5+IF(AND(N(Plan!$B$9)&gt;0,N(B217)&lt;=0),Plan!$D$9,0)+IF(AND(N(Plan!$B$10)&gt;0,N(C217)&lt;=0),Plan!$D$10,0)+IF(AND(N(Plan!$B$11)&gt;0,N(D217)&lt;=0),Plan!$D$11,0)+IF(AND(N(Plan!$B$12)&gt;0,N(E217)&lt;=0),Plan!$D$12,0)+IF(AND(N(Plan!$B$13)&gt;0,N(F217)&lt;=0),Plan!$D$13,0)+IF(AND(N(Plan!$B$14)&gt;0,N(G217)&lt;=0),Plan!$D$14,0)+IF(AND(N(Plan!$B$15)&gt;0,N(H217)&lt;=0),Plan!$D$15,0)+IF(AND(N(Plan!$B$16)&gt;0,N(I217)&lt;=0),Plan!$D$16,0)+IF(AND(N(Plan!$B$17)&gt;0,N(J217)&lt;=0),Plan!$D$17,0)+IF(AND(N(Plan!$B$18)&gt;0,N(K217)&lt;=0),Plan!$D$18,0),0)))</f>
        <v/>
      </c>
    </row>
    <row r="219">
      <c r="A219" s="17" t="n">
        <v>215</v>
      </c>
      <c r="B219" s="18">
        <f>IF(N(B218)&lt;=0,0,MAX(0,B218*(1+Plan!$C$9/12)-(Plan!$D$9+IF(Plan!$E$9=$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C219" s="18">
        <f>IF(N(C218)&lt;=0,0,MAX(0,C218*(1+Plan!$C$10/12)-(Plan!$D$10+IF(Plan!$E$10=$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D219" s="18">
        <f>IF(N(D218)&lt;=0,0,MAX(0,D218*(1+Plan!$C$11/12)-(Plan!$D$11+IF(Plan!$E$11=$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E219" s="18">
        <f>IF(N(E218)&lt;=0,0,MAX(0,E218*(1+Plan!$C$12/12)-(Plan!$D$12+IF(Plan!$E$12=$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F219" s="18">
        <f>IF(N(F218)&lt;=0,0,MAX(0,F218*(1+Plan!$C$13/12)-(Plan!$D$13+IF(Plan!$E$13=$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G219" s="18">
        <f>IF(N(G218)&lt;=0,0,MAX(0,G218*(1+Plan!$C$14/12)-(Plan!$D$14+IF(Plan!$E$14=$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H219" s="18">
        <f>IF(N(H218)&lt;=0,0,MAX(0,H218*(1+Plan!$C$15/12)-(Plan!$D$15+IF(Plan!$E$15=$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I219" s="18">
        <f>IF(N(I218)&lt;=0,0,MAX(0,I218*(1+Plan!$C$16/12)-(Plan!$D$16+IF(Plan!$E$16=$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J219" s="18">
        <f>IF(N(J218)&lt;=0,0,MAX(0,J218*(1+Plan!$C$17/12)-(Plan!$D$17+IF(Plan!$E$17=$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K219" s="18">
        <f>IF(N(K218)&lt;=0,0,MAX(0,K218*(1+Plan!$C$18/12)-(Plan!$D$18+IF(Plan!$E$18=$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c r="L219" s="19">
        <f>MIN(IF(N(B218)&gt;0,Plan!$E$9,999),IF(N(C218)&gt;0,Plan!$E$10,999),IF(N(D218)&gt;0,Plan!$E$11,999),IF(N(E218)&gt;0,Plan!$E$12,999),IF(N(F218)&gt;0,Plan!$E$13,999),IF(N(G218)&gt;0,Plan!$E$14,999),IF(N(H218)&gt;0,Plan!$E$15,999),IF(N(I218)&gt;0,Plan!$E$16,999),IF(N(J218)&gt;0,Plan!$E$17,999),IF(N(K218)&gt;0,Plan!$E$18,999))</f>
        <v/>
      </c>
      <c r="M219" s="18">
        <f>IF(N(B218)&lt;=0,0,MIN(B218*(1+Plan!$C$9/12),Plan!$D$9+IF(Plan!$E$9=$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IF(N(C218)&lt;=0,0,MIN(C218*(1+Plan!$C$10/12),Plan!$D$10+IF(Plan!$E$10=$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IF(N(D218)&lt;=0,0,MIN(D218*(1+Plan!$C$11/12),Plan!$D$11+IF(Plan!$E$11=$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IF(N(E218)&lt;=0,0,MIN(E218*(1+Plan!$C$12/12),Plan!$D$12+IF(Plan!$E$12=$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IF(N(F218)&lt;=0,0,MIN(F218*(1+Plan!$C$13/12),Plan!$D$13+IF(Plan!$E$13=$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IF(N(G218)&lt;=0,0,MIN(G218*(1+Plan!$C$14/12),Plan!$D$14+IF(Plan!$E$14=$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IF(N(H218)&lt;=0,0,MIN(H218*(1+Plan!$C$15/12),Plan!$D$15+IF(Plan!$E$15=$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IF(N(I218)&lt;=0,0,MIN(I218*(1+Plan!$C$16/12),Plan!$D$16+IF(Plan!$E$16=$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IF(N(J218)&lt;=0,0,MIN(J218*(1+Plan!$C$17/12),Plan!$D$17+IF(Plan!$E$17=$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IF(N(K218)&lt;=0,0,MIN(K218*(1+Plan!$C$18/12),Plan!$D$18+IF(Plan!$E$18=$L219,Plan!$B$5+IF(AND(N(Plan!$B$9)&gt;0,N(B218)&lt;=0),Plan!$D$9,0)+IF(AND(N(Plan!$B$10)&gt;0,N(C218)&lt;=0),Plan!$D$10,0)+IF(AND(N(Plan!$B$11)&gt;0,N(D218)&lt;=0),Plan!$D$11,0)+IF(AND(N(Plan!$B$12)&gt;0,N(E218)&lt;=0),Plan!$D$12,0)+IF(AND(N(Plan!$B$13)&gt;0,N(F218)&lt;=0),Plan!$D$13,0)+IF(AND(N(Plan!$B$14)&gt;0,N(G218)&lt;=0),Plan!$D$14,0)+IF(AND(N(Plan!$B$15)&gt;0,N(H218)&lt;=0),Plan!$D$15,0)+IF(AND(N(Plan!$B$16)&gt;0,N(I218)&lt;=0),Plan!$D$16,0)+IF(AND(N(Plan!$B$17)&gt;0,N(J218)&lt;=0),Plan!$D$17,0)+IF(AND(N(Plan!$B$18)&gt;0,N(K218)&lt;=0),Plan!$D$18,0),0)))</f>
        <v/>
      </c>
    </row>
    <row r="220">
      <c r="A220" s="17" t="n">
        <v>216</v>
      </c>
      <c r="B220" s="18">
        <f>IF(N(B219)&lt;=0,0,MAX(0,B219*(1+Plan!$C$9/12)-(Plan!$D$9+IF(Plan!$E$9=$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C220" s="18">
        <f>IF(N(C219)&lt;=0,0,MAX(0,C219*(1+Plan!$C$10/12)-(Plan!$D$10+IF(Plan!$E$10=$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D220" s="18">
        <f>IF(N(D219)&lt;=0,0,MAX(0,D219*(1+Plan!$C$11/12)-(Plan!$D$11+IF(Plan!$E$11=$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E220" s="18">
        <f>IF(N(E219)&lt;=0,0,MAX(0,E219*(1+Plan!$C$12/12)-(Plan!$D$12+IF(Plan!$E$12=$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F220" s="18">
        <f>IF(N(F219)&lt;=0,0,MAX(0,F219*(1+Plan!$C$13/12)-(Plan!$D$13+IF(Plan!$E$13=$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G220" s="18">
        <f>IF(N(G219)&lt;=0,0,MAX(0,G219*(1+Plan!$C$14/12)-(Plan!$D$14+IF(Plan!$E$14=$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H220" s="18">
        <f>IF(N(H219)&lt;=0,0,MAX(0,H219*(1+Plan!$C$15/12)-(Plan!$D$15+IF(Plan!$E$15=$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I220" s="18">
        <f>IF(N(I219)&lt;=0,0,MAX(0,I219*(1+Plan!$C$16/12)-(Plan!$D$16+IF(Plan!$E$16=$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J220" s="18">
        <f>IF(N(J219)&lt;=0,0,MAX(0,J219*(1+Plan!$C$17/12)-(Plan!$D$17+IF(Plan!$E$17=$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K220" s="18">
        <f>IF(N(K219)&lt;=0,0,MAX(0,K219*(1+Plan!$C$18/12)-(Plan!$D$18+IF(Plan!$E$18=$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c r="L220" s="19">
        <f>MIN(IF(N(B219)&gt;0,Plan!$E$9,999),IF(N(C219)&gt;0,Plan!$E$10,999),IF(N(D219)&gt;0,Plan!$E$11,999),IF(N(E219)&gt;0,Plan!$E$12,999),IF(N(F219)&gt;0,Plan!$E$13,999),IF(N(G219)&gt;0,Plan!$E$14,999),IF(N(H219)&gt;0,Plan!$E$15,999),IF(N(I219)&gt;0,Plan!$E$16,999),IF(N(J219)&gt;0,Plan!$E$17,999),IF(N(K219)&gt;0,Plan!$E$18,999))</f>
        <v/>
      </c>
      <c r="M220" s="18">
        <f>IF(N(B219)&lt;=0,0,MIN(B219*(1+Plan!$C$9/12),Plan!$D$9+IF(Plan!$E$9=$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IF(N(C219)&lt;=0,0,MIN(C219*(1+Plan!$C$10/12),Plan!$D$10+IF(Plan!$E$10=$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IF(N(D219)&lt;=0,0,MIN(D219*(1+Plan!$C$11/12),Plan!$D$11+IF(Plan!$E$11=$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IF(N(E219)&lt;=0,0,MIN(E219*(1+Plan!$C$12/12),Plan!$D$12+IF(Plan!$E$12=$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IF(N(F219)&lt;=0,0,MIN(F219*(1+Plan!$C$13/12),Plan!$D$13+IF(Plan!$E$13=$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IF(N(G219)&lt;=0,0,MIN(G219*(1+Plan!$C$14/12),Plan!$D$14+IF(Plan!$E$14=$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IF(N(H219)&lt;=0,0,MIN(H219*(1+Plan!$C$15/12),Plan!$D$15+IF(Plan!$E$15=$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IF(N(I219)&lt;=0,0,MIN(I219*(1+Plan!$C$16/12),Plan!$D$16+IF(Plan!$E$16=$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IF(N(J219)&lt;=0,0,MIN(J219*(1+Plan!$C$17/12),Plan!$D$17+IF(Plan!$E$17=$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IF(N(K219)&lt;=0,0,MIN(K219*(1+Plan!$C$18/12),Plan!$D$18+IF(Plan!$E$18=$L220,Plan!$B$5+IF(AND(N(Plan!$B$9)&gt;0,N(B219)&lt;=0),Plan!$D$9,0)+IF(AND(N(Plan!$B$10)&gt;0,N(C219)&lt;=0),Plan!$D$10,0)+IF(AND(N(Plan!$B$11)&gt;0,N(D219)&lt;=0),Plan!$D$11,0)+IF(AND(N(Plan!$B$12)&gt;0,N(E219)&lt;=0),Plan!$D$12,0)+IF(AND(N(Plan!$B$13)&gt;0,N(F219)&lt;=0),Plan!$D$13,0)+IF(AND(N(Plan!$B$14)&gt;0,N(G219)&lt;=0),Plan!$D$14,0)+IF(AND(N(Plan!$B$15)&gt;0,N(H219)&lt;=0),Plan!$D$15,0)+IF(AND(N(Plan!$B$16)&gt;0,N(I219)&lt;=0),Plan!$D$16,0)+IF(AND(N(Plan!$B$17)&gt;0,N(J219)&lt;=0),Plan!$D$17,0)+IF(AND(N(Plan!$B$18)&gt;0,N(K219)&lt;=0),Plan!$D$18,0),0)))</f>
        <v/>
      </c>
    </row>
    <row r="221">
      <c r="A221" s="17" t="n">
        <v>217</v>
      </c>
      <c r="B221" s="18">
        <f>IF(N(B220)&lt;=0,0,MAX(0,B220*(1+Plan!$C$9/12)-(Plan!$D$9+IF(Plan!$E$9=$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C221" s="18">
        <f>IF(N(C220)&lt;=0,0,MAX(0,C220*(1+Plan!$C$10/12)-(Plan!$D$10+IF(Plan!$E$10=$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D221" s="18">
        <f>IF(N(D220)&lt;=0,0,MAX(0,D220*(1+Plan!$C$11/12)-(Plan!$D$11+IF(Plan!$E$11=$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E221" s="18">
        <f>IF(N(E220)&lt;=0,0,MAX(0,E220*(1+Plan!$C$12/12)-(Plan!$D$12+IF(Plan!$E$12=$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F221" s="18">
        <f>IF(N(F220)&lt;=0,0,MAX(0,F220*(1+Plan!$C$13/12)-(Plan!$D$13+IF(Plan!$E$13=$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G221" s="18">
        <f>IF(N(G220)&lt;=0,0,MAX(0,G220*(1+Plan!$C$14/12)-(Plan!$D$14+IF(Plan!$E$14=$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H221" s="18">
        <f>IF(N(H220)&lt;=0,0,MAX(0,H220*(1+Plan!$C$15/12)-(Plan!$D$15+IF(Plan!$E$15=$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I221" s="18">
        <f>IF(N(I220)&lt;=0,0,MAX(0,I220*(1+Plan!$C$16/12)-(Plan!$D$16+IF(Plan!$E$16=$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J221" s="18">
        <f>IF(N(J220)&lt;=0,0,MAX(0,J220*(1+Plan!$C$17/12)-(Plan!$D$17+IF(Plan!$E$17=$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K221" s="18">
        <f>IF(N(K220)&lt;=0,0,MAX(0,K220*(1+Plan!$C$18/12)-(Plan!$D$18+IF(Plan!$E$18=$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c r="L221" s="19">
        <f>MIN(IF(N(B220)&gt;0,Plan!$E$9,999),IF(N(C220)&gt;0,Plan!$E$10,999),IF(N(D220)&gt;0,Plan!$E$11,999),IF(N(E220)&gt;0,Plan!$E$12,999),IF(N(F220)&gt;0,Plan!$E$13,999),IF(N(G220)&gt;0,Plan!$E$14,999),IF(N(H220)&gt;0,Plan!$E$15,999),IF(N(I220)&gt;0,Plan!$E$16,999),IF(N(J220)&gt;0,Plan!$E$17,999),IF(N(K220)&gt;0,Plan!$E$18,999))</f>
        <v/>
      </c>
      <c r="M221" s="18">
        <f>IF(N(B220)&lt;=0,0,MIN(B220*(1+Plan!$C$9/12),Plan!$D$9+IF(Plan!$E$9=$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IF(N(C220)&lt;=0,0,MIN(C220*(1+Plan!$C$10/12),Plan!$D$10+IF(Plan!$E$10=$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IF(N(D220)&lt;=0,0,MIN(D220*(1+Plan!$C$11/12),Plan!$D$11+IF(Plan!$E$11=$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IF(N(E220)&lt;=0,0,MIN(E220*(1+Plan!$C$12/12),Plan!$D$12+IF(Plan!$E$12=$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IF(N(F220)&lt;=0,0,MIN(F220*(1+Plan!$C$13/12),Plan!$D$13+IF(Plan!$E$13=$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IF(N(G220)&lt;=0,0,MIN(G220*(1+Plan!$C$14/12),Plan!$D$14+IF(Plan!$E$14=$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IF(N(H220)&lt;=0,0,MIN(H220*(1+Plan!$C$15/12),Plan!$D$15+IF(Plan!$E$15=$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IF(N(I220)&lt;=0,0,MIN(I220*(1+Plan!$C$16/12),Plan!$D$16+IF(Plan!$E$16=$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IF(N(J220)&lt;=0,0,MIN(J220*(1+Plan!$C$17/12),Plan!$D$17+IF(Plan!$E$17=$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IF(N(K220)&lt;=0,0,MIN(K220*(1+Plan!$C$18/12),Plan!$D$18+IF(Plan!$E$18=$L221,Plan!$B$5+IF(AND(N(Plan!$B$9)&gt;0,N(B220)&lt;=0),Plan!$D$9,0)+IF(AND(N(Plan!$B$10)&gt;0,N(C220)&lt;=0),Plan!$D$10,0)+IF(AND(N(Plan!$B$11)&gt;0,N(D220)&lt;=0),Plan!$D$11,0)+IF(AND(N(Plan!$B$12)&gt;0,N(E220)&lt;=0),Plan!$D$12,0)+IF(AND(N(Plan!$B$13)&gt;0,N(F220)&lt;=0),Plan!$D$13,0)+IF(AND(N(Plan!$B$14)&gt;0,N(G220)&lt;=0),Plan!$D$14,0)+IF(AND(N(Plan!$B$15)&gt;0,N(H220)&lt;=0),Plan!$D$15,0)+IF(AND(N(Plan!$B$16)&gt;0,N(I220)&lt;=0),Plan!$D$16,0)+IF(AND(N(Plan!$B$17)&gt;0,N(J220)&lt;=0),Plan!$D$17,0)+IF(AND(N(Plan!$B$18)&gt;0,N(K220)&lt;=0),Plan!$D$18,0),0)))</f>
        <v/>
      </c>
    </row>
    <row r="222">
      <c r="A222" s="17" t="n">
        <v>218</v>
      </c>
      <c r="B222" s="18">
        <f>IF(N(B221)&lt;=0,0,MAX(0,B221*(1+Plan!$C$9/12)-(Plan!$D$9+IF(Plan!$E$9=$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C222" s="18">
        <f>IF(N(C221)&lt;=0,0,MAX(0,C221*(1+Plan!$C$10/12)-(Plan!$D$10+IF(Plan!$E$10=$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D222" s="18">
        <f>IF(N(D221)&lt;=0,0,MAX(0,D221*(1+Plan!$C$11/12)-(Plan!$D$11+IF(Plan!$E$11=$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E222" s="18">
        <f>IF(N(E221)&lt;=0,0,MAX(0,E221*(1+Plan!$C$12/12)-(Plan!$D$12+IF(Plan!$E$12=$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F222" s="18">
        <f>IF(N(F221)&lt;=0,0,MAX(0,F221*(1+Plan!$C$13/12)-(Plan!$D$13+IF(Plan!$E$13=$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G222" s="18">
        <f>IF(N(G221)&lt;=0,0,MAX(0,G221*(1+Plan!$C$14/12)-(Plan!$D$14+IF(Plan!$E$14=$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H222" s="18">
        <f>IF(N(H221)&lt;=0,0,MAX(0,H221*(1+Plan!$C$15/12)-(Plan!$D$15+IF(Plan!$E$15=$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I222" s="18">
        <f>IF(N(I221)&lt;=0,0,MAX(0,I221*(1+Plan!$C$16/12)-(Plan!$D$16+IF(Plan!$E$16=$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J222" s="18">
        <f>IF(N(J221)&lt;=0,0,MAX(0,J221*(1+Plan!$C$17/12)-(Plan!$D$17+IF(Plan!$E$17=$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K222" s="18">
        <f>IF(N(K221)&lt;=0,0,MAX(0,K221*(1+Plan!$C$18/12)-(Plan!$D$18+IF(Plan!$E$18=$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c r="L222" s="19">
        <f>MIN(IF(N(B221)&gt;0,Plan!$E$9,999),IF(N(C221)&gt;0,Plan!$E$10,999),IF(N(D221)&gt;0,Plan!$E$11,999),IF(N(E221)&gt;0,Plan!$E$12,999),IF(N(F221)&gt;0,Plan!$E$13,999),IF(N(G221)&gt;0,Plan!$E$14,999),IF(N(H221)&gt;0,Plan!$E$15,999),IF(N(I221)&gt;0,Plan!$E$16,999),IF(N(J221)&gt;0,Plan!$E$17,999),IF(N(K221)&gt;0,Plan!$E$18,999))</f>
        <v/>
      </c>
      <c r="M222" s="18">
        <f>IF(N(B221)&lt;=0,0,MIN(B221*(1+Plan!$C$9/12),Plan!$D$9+IF(Plan!$E$9=$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IF(N(C221)&lt;=0,0,MIN(C221*(1+Plan!$C$10/12),Plan!$D$10+IF(Plan!$E$10=$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IF(N(D221)&lt;=0,0,MIN(D221*(1+Plan!$C$11/12),Plan!$D$11+IF(Plan!$E$11=$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IF(N(E221)&lt;=0,0,MIN(E221*(1+Plan!$C$12/12),Plan!$D$12+IF(Plan!$E$12=$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IF(N(F221)&lt;=0,0,MIN(F221*(1+Plan!$C$13/12),Plan!$D$13+IF(Plan!$E$13=$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IF(N(G221)&lt;=0,0,MIN(G221*(1+Plan!$C$14/12),Plan!$D$14+IF(Plan!$E$14=$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IF(N(H221)&lt;=0,0,MIN(H221*(1+Plan!$C$15/12),Plan!$D$15+IF(Plan!$E$15=$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IF(N(I221)&lt;=0,0,MIN(I221*(1+Plan!$C$16/12),Plan!$D$16+IF(Plan!$E$16=$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IF(N(J221)&lt;=0,0,MIN(J221*(1+Plan!$C$17/12),Plan!$D$17+IF(Plan!$E$17=$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IF(N(K221)&lt;=0,0,MIN(K221*(1+Plan!$C$18/12),Plan!$D$18+IF(Plan!$E$18=$L222,Plan!$B$5+IF(AND(N(Plan!$B$9)&gt;0,N(B221)&lt;=0),Plan!$D$9,0)+IF(AND(N(Plan!$B$10)&gt;0,N(C221)&lt;=0),Plan!$D$10,0)+IF(AND(N(Plan!$B$11)&gt;0,N(D221)&lt;=0),Plan!$D$11,0)+IF(AND(N(Plan!$B$12)&gt;0,N(E221)&lt;=0),Plan!$D$12,0)+IF(AND(N(Plan!$B$13)&gt;0,N(F221)&lt;=0),Plan!$D$13,0)+IF(AND(N(Plan!$B$14)&gt;0,N(G221)&lt;=0),Plan!$D$14,0)+IF(AND(N(Plan!$B$15)&gt;0,N(H221)&lt;=0),Plan!$D$15,0)+IF(AND(N(Plan!$B$16)&gt;0,N(I221)&lt;=0),Plan!$D$16,0)+IF(AND(N(Plan!$B$17)&gt;0,N(J221)&lt;=0),Plan!$D$17,0)+IF(AND(N(Plan!$B$18)&gt;0,N(K221)&lt;=0),Plan!$D$18,0),0)))</f>
        <v/>
      </c>
    </row>
    <row r="223">
      <c r="A223" s="17" t="n">
        <v>219</v>
      </c>
      <c r="B223" s="18">
        <f>IF(N(B222)&lt;=0,0,MAX(0,B222*(1+Plan!$C$9/12)-(Plan!$D$9+IF(Plan!$E$9=$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C223" s="18">
        <f>IF(N(C222)&lt;=0,0,MAX(0,C222*(1+Plan!$C$10/12)-(Plan!$D$10+IF(Plan!$E$10=$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D223" s="18">
        <f>IF(N(D222)&lt;=0,0,MAX(0,D222*(1+Plan!$C$11/12)-(Plan!$D$11+IF(Plan!$E$11=$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E223" s="18">
        <f>IF(N(E222)&lt;=0,0,MAX(0,E222*(1+Plan!$C$12/12)-(Plan!$D$12+IF(Plan!$E$12=$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F223" s="18">
        <f>IF(N(F222)&lt;=0,0,MAX(0,F222*(1+Plan!$C$13/12)-(Plan!$D$13+IF(Plan!$E$13=$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G223" s="18">
        <f>IF(N(G222)&lt;=0,0,MAX(0,G222*(1+Plan!$C$14/12)-(Plan!$D$14+IF(Plan!$E$14=$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H223" s="18">
        <f>IF(N(H222)&lt;=0,0,MAX(0,H222*(1+Plan!$C$15/12)-(Plan!$D$15+IF(Plan!$E$15=$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I223" s="18">
        <f>IF(N(I222)&lt;=0,0,MAX(0,I222*(1+Plan!$C$16/12)-(Plan!$D$16+IF(Plan!$E$16=$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J223" s="18">
        <f>IF(N(J222)&lt;=0,0,MAX(0,J222*(1+Plan!$C$17/12)-(Plan!$D$17+IF(Plan!$E$17=$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K223" s="18">
        <f>IF(N(K222)&lt;=0,0,MAX(0,K222*(1+Plan!$C$18/12)-(Plan!$D$18+IF(Plan!$E$18=$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c r="L223" s="19">
        <f>MIN(IF(N(B222)&gt;0,Plan!$E$9,999),IF(N(C222)&gt;0,Plan!$E$10,999),IF(N(D222)&gt;0,Plan!$E$11,999),IF(N(E222)&gt;0,Plan!$E$12,999),IF(N(F222)&gt;0,Plan!$E$13,999),IF(N(G222)&gt;0,Plan!$E$14,999),IF(N(H222)&gt;0,Plan!$E$15,999),IF(N(I222)&gt;0,Plan!$E$16,999),IF(N(J222)&gt;0,Plan!$E$17,999),IF(N(K222)&gt;0,Plan!$E$18,999))</f>
        <v/>
      </c>
      <c r="M223" s="18">
        <f>IF(N(B222)&lt;=0,0,MIN(B222*(1+Plan!$C$9/12),Plan!$D$9+IF(Plan!$E$9=$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IF(N(C222)&lt;=0,0,MIN(C222*(1+Plan!$C$10/12),Plan!$D$10+IF(Plan!$E$10=$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IF(N(D222)&lt;=0,0,MIN(D222*(1+Plan!$C$11/12),Plan!$D$11+IF(Plan!$E$11=$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IF(N(E222)&lt;=0,0,MIN(E222*(1+Plan!$C$12/12),Plan!$D$12+IF(Plan!$E$12=$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IF(N(F222)&lt;=0,0,MIN(F222*(1+Plan!$C$13/12),Plan!$D$13+IF(Plan!$E$13=$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IF(N(G222)&lt;=0,0,MIN(G222*(1+Plan!$C$14/12),Plan!$D$14+IF(Plan!$E$14=$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IF(N(H222)&lt;=0,0,MIN(H222*(1+Plan!$C$15/12),Plan!$D$15+IF(Plan!$E$15=$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IF(N(I222)&lt;=0,0,MIN(I222*(1+Plan!$C$16/12),Plan!$D$16+IF(Plan!$E$16=$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IF(N(J222)&lt;=0,0,MIN(J222*(1+Plan!$C$17/12),Plan!$D$17+IF(Plan!$E$17=$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IF(N(K222)&lt;=0,0,MIN(K222*(1+Plan!$C$18/12),Plan!$D$18+IF(Plan!$E$18=$L223,Plan!$B$5+IF(AND(N(Plan!$B$9)&gt;0,N(B222)&lt;=0),Plan!$D$9,0)+IF(AND(N(Plan!$B$10)&gt;0,N(C222)&lt;=0),Plan!$D$10,0)+IF(AND(N(Plan!$B$11)&gt;0,N(D222)&lt;=0),Plan!$D$11,0)+IF(AND(N(Plan!$B$12)&gt;0,N(E222)&lt;=0),Plan!$D$12,0)+IF(AND(N(Plan!$B$13)&gt;0,N(F222)&lt;=0),Plan!$D$13,0)+IF(AND(N(Plan!$B$14)&gt;0,N(G222)&lt;=0),Plan!$D$14,0)+IF(AND(N(Plan!$B$15)&gt;0,N(H222)&lt;=0),Plan!$D$15,0)+IF(AND(N(Plan!$B$16)&gt;0,N(I222)&lt;=0),Plan!$D$16,0)+IF(AND(N(Plan!$B$17)&gt;0,N(J222)&lt;=0),Plan!$D$17,0)+IF(AND(N(Plan!$B$18)&gt;0,N(K222)&lt;=0),Plan!$D$18,0),0)))</f>
        <v/>
      </c>
    </row>
    <row r="224">
      <c r="A224" s="17" t="n">
        <v>220</v>
      </c>
      <c r="B224" s="18">
        <f>IF(N(B223)&lt;=0,0,MAX(0,B223*(1+Plan!$C$9/12)-(Plan!$D$9+IF(Plan!$E$9=$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C224" s="18">
        <f>IF(N(C223)&lt;=0,0,MAX(0,C223*(1+Plan!$C$10/12)-(Plan!$D$10+IF(Plan!$E$10=$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D224" s="18">
        <f>IF(N(D223)&lt;=0,0,MAX(0,D223*(1+Plan!$C$11/12)-(Plan!$D$11+IF(Plan!$E$11=$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E224" s="18">
        <f>IF(N(E223)&lt;=0,0,MAX(0,E223*(1+Plan!$C$12/12)-(Plan!$D$12+IF(Plan!$E$12=$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F224" s="18">
        <f>IF(N(F223)&lt;=0,0,MAX(0,F223*(1+Plan!$C$13/12)-(Plan!$D$13+IF(Plan!$E$13=$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G224" s="18">
        <f>IF(N(G223)&lt;=0,0,MAX(0,G223*(1+Plan!$C$14/12)-(Plan!$D$14+IF(Plan!$E$14=$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H224" s="18">
        <f>IF(N(H223)&lt;=0,0,MAX(0,H223*(1+Plan!$C$15/12)-(Plan!$D$15+IF(Plan!$E$15=$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I224" s="18">
        <f>IF(N(I223)&lt;=0,0,MAX(0,I223*(1+Plan!$C$16/12)-(Plan!$D$16+IF(Plan!$E$16=$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J224" s="18">
        <f>IF(N(J223)&lt;=0,0,MAX(0,J223*(1+Plan!$C$17/12)-(Plan!$D$17+IF(Plan!$E$17=$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K224" s="18">
        <f>IF(N(K223)&lt;=0,0,MAX(0,K223*(1+Plan!$C$18/12)-(Plan!$D$18+IF(Plan!$E$18=$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c r="L224" s="19">
        <f>MIN(IF(N(B223)&gt;0,Plan!$E$9,999),IF(N(C223)&gt;0,Plan!$E$10,999),IF(N(D223)&gt;0,Plan!$E$11,999),IF(N(E223)&gt;0,Plan!$E$12,999),IF(N(F223)&gt;0,Plan!$E$13,999),IF(N(G223)&gt;0,Plan!$E$14,999),IF(N(H223)&gt;0,Plan!$E$15,999),IF(N(I223)&gt;0,Plan!$E$16,999),IF(N(J223)&gt;0,Plan!$E$17,999),IF(N(K223)&gt;0,Plan!$E$18,999))</f>
        <v/>
      </c>
      <c r="M224" s="18">
        <f>IF(N(B223)&lt;=0,0,MIN(B223*(1+Plan!$C$9/12),Plan!$D$9+IF(Plan!$E$9=$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IF(N(C223)&lt;=0,0,MIN(C223*(1+Plan!$C$10/12),Plan!$D$10+IF(Plan!$E$10=$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IF(N(D223)&lt;=0,0,MIN(D223*(1+Plan!$C$11/12),Plan!$D$11+IF(Plan!$E$11=$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IF(N(E223)&lt;=0,0,MIN(E223*(1+Plan!$C$12/12),Plan!$D$12+IF(Plan!$E$12=$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IF(N(F223)&lt;=0,0,MIN(F223*(1+Plan!$C$13/12),Plan!$D$13+IF(Plan!$E$13=$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IF(N(G223)&lt;=0,0,MIN(G223*(1+Plan!$C$14/12),Plan!$D$14+IF(Plan!$E$14=$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IF(N(H223)&lt;=0,0,MIN(H223*(1+Plan!$C$15/12),Plan!$D$15+IF(Plan!$E$15=$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IF(N(I223)&lt;=0,0,MIN(I223*(1+Plan!$C$16/12),Plan!$D$16+IF(Plan!$E$16=$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IF(N(J223)&lt;=0,0,MIN(J223*(1+Plan!$C$17/12),Plan!$D$17+IF(Plan!$E$17=$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IF(N(K223)&lt;=0,0,MIN(K223*(1+Plan!$C$18/12),Plan!$D$18+IF(Plan!$E$18=$L224,Plan!$B$5+IF(AND(N(Plan!$B$9)&gt;0,N(B223)&lt;=0),Plan!$D$9,0)+IF(AND(N(Plan!$B$10)&gt;0,N(C223)&lt;=0),Plan!$D$10,0)+IF(AND(N(Plan!$B$11)&gt;0,N(D223)&lt;=0),Plan!$D$11,0)+IF(AND(N(Plan!$B$12)&gt;0,N(E223)&lt;=0),Plan!$D$12,0)+IF(AND(N(Plan!$B$13)&gt;0,N(F223)&lt;=0),Plan!$D$13,0)+IF(AND(N(Plan!$B$14)&gt;0,N(G223)&lt;=0),Plan!$D$14,0)+IF(AND(N(Plan!$B$15)&gt;0,N(H223)&lt;=0),Plan!$D$15,0)+IF(AND(N(Plan!$B$16)&gt;0,N(I223)&lt;=0),Plan!$D$16,0)+IF(AND(N(Plan!$B$17)&gt;0,N(J223)&lt;=0),Plan!$D$17,0)+IF(AND(N(Plan!$B$18)&gt;0,N(K223)&lt;=0),Plan!$D$18,0),0)))</f>
        <v/>
      </c>
    </row>
    <row r="225">
      <c r="A225" s="17" t="n">
        <v>221</v>
      </c>
      <c r="B225" s="18">
        <f>IF(N(B224)&lt;=0,0,MAX(0,B224*(1+Plan!$C$9/12)-(Plan!$D$9+IF(Plan!$E$9=$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C225" s="18">
        <f>IF(N(C224)&lt;=0,0,MAX(0,C224*(1+Plan!$C$10/12)-(Plan!$D$10+IF(Plan!$E$10=$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D225" s="18">
        <f>IF(N(D224)&lt;=0,0,MAX(0,D224*(1+Plan!$C$11/12)-(Plan!$D$11+IF(Plan!$E$11=$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E225" s="18">
        <f>IF(N(E224)&lt;=0,0,MAX(0,E224*(1+Plan!$C$12/12)-(Plan!$D$12+IF(Plan!$E$12=$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F225" s="18">
        <f>IF(N(F224)&lt;=0,0,MAX(0,F224*(1+Plan!$C$13/12)-(Plan!$D$13+IF(Plan!$E$13=$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G225" s="18">
        <f>IF(N(G224)&lt;=0,0,MAX(0,G224*(1+Plan!$C$14/12)-(Plan!$D$14+IF(Plan!$E$14=$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H225" s="18">
        <f>IF(N(H224)&lt;=0,0,MAX(0,H224*(1+Plan!$C$15/12)-(Plan!$D$15+IF(Plan!$E$15=$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I225" s="18">
        <f>IF(N(I224)&lt;=0,0,MAX(0,I224*(1+Plan!$C$16/12)-(Plan!$D$16+IF(Plan!$E$16=$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J225" s="18">
        <f>IF(N(J224)&lt;=0,0,MAX(0,J224*(1+Plan!$C$17/12)-(Plan!$D$17+IF(Plan!$E$17=$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K225" s="18">
        <f>IF(N(K224)&lt;=0,0,MAX(0,K224*(1+Plan!$C$18/12)-(Plan!$D$18+IF(Plan!$E$18=$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c r="L225" s="19">
        <f>MIN(IF(N(B224)&gt;0,Plan!$E$9,999),IF(N(C224)&gt;0,Plan!$E$10,999),IF(N(D224)&gt;0,Plan!$E$11,999),IF(N(E224)&gt;0,Plan!$E$12,999),IF(N(F224)&gt;0,Plan!$E$13,999),IF(N(G224)&gt;0,Plan!$E$14,999),IF(N(H224)&gt;0,Plan!$E$15,999),IF(N(I224)&gt;0,Plan!$E$16,999),IF(N(J224)&gt;0,Plan!$E$17,999),IF(N(K224)&gt;0,Plan!$E$18,999))</f>
        <v/>
      </c>
      <c r="M225" s="18">
        <f>IF(N(B224)&lt;=0,0,MIN(B224*(1+Plan!$C$9/12),Plan!$D$9+IF(Plan!$E$9=$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IF(N(C224)&lt;=0,0,MIN(C224*(1+Plan!$C$10/12),Plan!$D$10+IF(Plan!$E$10=$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IF(N(D224)&lt;=0,0,MIN(D224*(1+Plan!$C$11/12),Plan!$D$11+IF(Plan!$E$11=$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IF(N(E224)&lt;=0,0,MIN(E224*(1+Plan!$C$12/12),Plan!$D$12+IF(Plan!$E$12=$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IF(N(F224)&lt;=0,0,MIN(F224*(1+Plan!$C$13/12),Plan!$D$13+IF(Plan!$E$13=$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IF(N(G224)&lt;=0,0,MIN(G224*(1+Plan!$C$14/12),Plan!$D$14+IF(Plan!$E$14=$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IF(N(H224)&lt;=0,0,MIN(H224*(1+Plan!$C$15/12),Plan!$D$15+IF(Plan!$E$15=$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IF(N(I224)&lt;=0,0,MIN(I224*(1+Plan!$C$16/12),Plan!$D$16+IF(Plan!$E$16=$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IF(N(J224)&lt;=0,0,MIN(J224*(1+Plan!$C$17/12),Plan!$D$17+IF(Plan!$E$17=$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IF(N(K224)&lt;=0,0,MIN(K224*(1+Plan!$C$18/12),Plan!$D$18+IF(Plan!$E$18=$L225,Plan!$B$5+IF(AND(N(Plan!$B$9)&gt;0,N(B224)&lt;=0),Plan!$D$9,0)+IF(AND(N(Plan!$B$10)&gt;0,N(C224)&lt;=0),Plan!$D$10,0)+IF(AND(N(Plan!$B$11)&gt;0,N(D224)&lt;=0),Plan!$D$11,0)+IF(AND(N(Plan!$B$12)&gt;0,N(E224)&lt;=0),Plan!$D$12,0)+IF(AND(N(Plan!$B$13)&gt;0,N(F224)&lt;=0),Plan!$D$13,0)+IF(AND(N(Plan!$B$14)&gt;0,N(G224)&lt;=0),Plan!$D$14,0)+IF(AND(N(Plan!$B$15)&gt;0,N(H224)&lt;=0),Plan!$D$15,0)+IF(AND(N(Plan!$B$16)&gt;0,N(I224)&lt;=0),Plan!$D$16,0)+IF(AND(N(Plan!$B$17)&gt;0,N(J224)&lt;=0),Plan!$D$17,0)+IF(AND(N(Plan!$B$18)&gt;0,N(K224)&lt;=0),Plan!$D$18,0),0)))</f>
        <v/>
      </c>
    </row>
    <row r="226">
      <c r="A226" s="17" t="n">
        <v>222</v>
      </c>
      <c r="B226" s="18">
        <f>IF(N(B225)&lt;=0,0,MAX(0,B225*(1+Plan!$C$9/12)-(Plan!$D$9+IF(Plan!$E$9=$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C226" s="18">
        <f>IF(N(C225)&lt;=0,0,MAX(0,C225*(1+Plan!$C$10/12)-(Plan!$D$10+IF(Plan!$E$10=$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D226" s="18">
        <f>IF(N(D225)&lt;=0,0,MAX(0,D225*(1+Plan!$C$11/12)-(Plan!$D$11+IF(Plan!$E$11=$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E226" s="18">
        <f>IF(N(E225)&lt;=0,0,MAX(0,E225*(1+Plan!$C$12/12)-(Plan!$D$12+IF(Plan!$E$12=$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F226" s="18">
        <f>IF(N(F225)&lt;=0,0,MAX(0,F225*(1+Plan!$C$13/12)-(Plan!$D$13+IF(Plan!$E$13=$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G226" s="18">
        <f>IF(N(G225)&lt;=0,0,MAX(0,G225*(1+Plan!$C$14/12)-(Plan!$D$14+IF(Plan!$E$14=$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H226" s="18">
        <f>IF(N(H225)&lt;=0,0,MAX(0,H225*(1+Plan!$C$15/12)-(Plan!$D$15+IF(Plan!$E$15=$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I226" s="18">
        <f>IF(N(I225)&lt;=0,0,MAX(0,I225*(1+Plan!$C$16/12)-(Plan!$D$16+IF(Plan!$E$16=$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J226" s="18">
        <f>IF(N(J225)&lt;=0,0,MAX(0,J225*(1+Plan!$C$17/12)-(Plan!$D$17+IF(Plan!$E$17=$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K226" s="18">
        <f>IF(N(K225)&lt;=0,0,MAX(0,K225*(1+Plan!$C$18/12)-(Plan!$D$18+IF(Plan!$E$18=$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c r="L226" s="19">
        <f>MIN(IF(N(B225)&gt;0,Plan!$E$9,999),IF(N(C225)&gt;0,Plan!$E$10,999),IF(N(D225)&gt;0,Plan!$E$11,999),IF(N(E225)&gt;0,Plan!$E$12,999),IF(N(F225)&gt;0,Plan!$E$13,999),IF(N(G225)&gt;0,Plan!$E$14,999),IF(N(H225)&gt;0,Plan!$E$15,999),IF(N(I225)&gt;0,Plan!$E$16,999),IF(N(J225)&gt;0,Plan!$E$17,999),IF(N(K225)&gt;0,Plan!$E$18,999))</f>
        <v/>
      </c>
      <c r="M226" s="18">
        <f>IF(N(B225)&lt;=0,0,MIN(B225*(1+Plan!$C$9/12),Plan!$D$9+IF(Plan!$E$9=$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IF(N(C225)&lt;=0,0,MIN(C225*(1+Plan!$C$10/12),Plan!$D$10+IF(Plan!$E$10=$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IF(N(D225)&lt;=0,0,MIN(D225*(1+Plan!$C$11/12),Plan!$D$11+IF(Plan!$E$11=$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IF(N(E225)&lt;=0,0,MIN(E225*(1+Plan!$C$12/12),Plan!$D$12+IF(Plan!$E$12=$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IF(N(F225)&lt;=0,0,MIN(F225*(1+Plan!$C$13/12),Plan!$D$13+IF(Plan!$E$13=$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IF(N(G225)&lt;=0,0,MIN(G225*(1+Plan!$C$14/12),Plan!$D$14+IF(Plan!$E$14=$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IF(N(H225)&lt;=0,0,MIN(H225*(1+Plan!$C$15/12),Plan!$D$15+IF(Plan!$E$15=$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IF(N(I225)&lt;=0,0,MIN(I225*(1+Plan!$C$16/12),Plan!$D$16+IF(Plan!$E$16=$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IF(N(J225)&lt;=0,0,MIN(J225*(1+Plan!$C$17/12),Plan!$D$17+IF(Plan!$E$17=$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IF(N(K225)&lt;=0,0,MIN(K225*(1+Plan!$C$18/12),Plan!$D$18+IF(Plan!$E$18=$L226,Plan!$B$5+IF(AND(N(Plan!$B$9)&gt;0,N(B225)&lt;=0),Plan!$D$9,0)+IF(AND(N(Plan!$B$10)&gt;0,N(C225)&lt;=0),Plan!$D$10,0)+IF(AND(N(Plan!$B$11)&gt;0,N(D225)&lt;=0),Plan!$D$11,0)+IF(AND(N(Plan!$B$12)&gt;0,N(E225)&lt;=0),Plan!$D$12,0)+IF(AND(N(Plan!$B$13)&gt;0,N(F225)&lt;=0),Plan!$D$13,0)+IF(AND(N(Plan!$B$14)&gt;0,N(G225)&lt;=0),Plan!$D$14,0)+IF(AND(N(Plan!$B$15)&gt;0,N(H225)&lt;=0),Plan!$D$15,0)+IF(AND(N(Plan!$B$16)&gt;0,N(I225)&lt;=0),Plan!$D$16,0)+IF(AND(N(Plan!$B$17)&gt;0,N(J225)&lt;=0),Plan!$D$17,0)+IF(AND(N(Plan!$B$18)&gt;0,N(K225)&lt;=0),Plan!$D$18,0),0)))</f>
        <v/>
      </c>
    </row>
    <row r="227">
      <c r="A227" s="17" t="n">
        <v>223</v>
      </c>
      <c r="B227" s="18">
        <f>IF(N(B226)&lt;=0,0,MAX(0,B226*(1+Plan!$C$9/12)-(Plan!$D$9+IF(Plan!$E$9=$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C227" s="18">
        <f>IF(N(C226)&lt;=0,0,MAX(0,C226*(1+Plan!$C$10/12)-(Plan!$D$10+IF(Plan!$E$10=$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D227" s="18">
        <f>IF(N(D226)&lt;=0,0,MAX(0,D226*(1+Plan!$C$11/12)-(Plan!$D$11+IF(Plan!$E$11=$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E227" s="18">
        <f>IF(N(E226)&lt;=0,0,MAX(0,E226*(1+Plan!$C$12/12)-(Plan!$D$12+IF(Plan!$E$12=$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F227" s="18">
        <f>IF(N(F226)&lt;=0,0,MAX(0,F226*(1+Plan!$C$13/12)-(Plan!$D$13+IF(Plan!$E$13=$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G227" s="18">
        <f>IF(N(G226)&lt;=0,0,MAX(0,G226*(1+Plan!$C$14/12)-(Plan!$D$14+IF(Plan!$E$14=$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H227" s="18">
        <f>IF(N(H226)&lt;=0,0,MAX(0,H226*(1+Plan!$C$15/12)-(Plan!$D$15+IF(Plan!$E$15=$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I227" s="18">
        <f>IF(N(I226)&lt;=0,0,MAX(0,I226*(1+Plan!$C$16/12)-(Plan!$D$16+IF(Plan!$E$16=$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J227" s="18">
        <f>IF(N(J226)&lt;=0,0,MAX(0,J226*(1+Plan!$C$17/12)-(Plan!$D$17+IF(Plan!$E$17=$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K227" s="18">
        <f>IF(N(K226)&lt;=0,0,MAX(0,K226*(1+Plan!$C$18/12)-(Plan!$D$18+IF(Plan!$E$18=$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c r="L227" s="19">
        <f>MIN(IF(N(B226)&gt;0,Plan!$E$9,999),IF(N(C226)&gt;0,Plan!$E$10,999),IF(N(D226)&gt;0,Plan!$E$11,999),IF(N(E226)&gt;0,Plan!$E$12,999),IF(N(F226)&gt;0,Plan!$E$13,999),IF(N(G226)&gt;0,Plan!$E$14,999),IF(N(H226)&gt;0,Plan!$E$15,999),IF(N(I226)&gt;0,Plan!$E$16,999),IF(N(J226)&gt;0,Plan!$E$17,999),IF(N(K226)&gt;0,Plan!$E$18,999))</f>
        <v/>
      </c>
      <c r="M227" s="18">
        <f>IF(N(B226)&lt;=0,0,MIN(B226*(1+Plan!$C$9/12),Plan!$D$9+IF(Plan!$E$9=$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IF(N(C226)&lt;=0,0,MIN(C226*(1+Plan!$C$10/12),Plan!$D$10+IF(Plan!$E$10=$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IF(N(D226)&lt;=0,0,MIN(D226*(1+Plan!$C$11/12),Plan!$D$11+IF(Plan!$E$11=$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IF(N(E226)&lt;=0,0,MIN(E226*(1+Plan!$C$12/12),Plan!$D$12+IF(Plan!$E$12=$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IF(N(F226)&lt;=0,0,MIN(F226*(1+Plan!$C$13/12),Plan!$D$13+IF(Plan!$E$13=$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IF(N(G226)&lt;=0,0,MIN(G226*(1+Plan!$C$14/12),Plan!$D$14+IF(Plan!$E$14=$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IF(N(H226)&lt;=0,0,MIN(H226*(1+Plan!$C$15/12),Plan!$D$15+IF(Plan!$E$15=$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IF(N(I226)&lt;=0,0,MIN(I226*(1+Plan!$C$16/12),Plan!$D$16+IF(Plan!$E$16=$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IF(N(J226)&lt;=0,0,MIN(J226*(1+Plan!$C$17/12),Plan!$D$17+IF(Plan!$E$17=$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IF(N(K226)&lt;=0,0,MIN(K226*(1+Plan!$C$18/12),Plan!$D$18+IF(Plan!$E$18=$L227,Plan!$B$5+IF(AND(N(Plan!$B$9)&gt;0,N(B226)&lt;=0),Plan!$D$9,0)+IF(AND(N(Plan!$B$10)&gt;0,N(C226)&lt;=0),Plan!$D$10,0)+IF(AND(N(Plan!$B$11)&gt;0,N(D226)&lt;=0),Plan!$D$11,0)+IF(AND(N(Plan!$B$12)&gt;0,N(E226)&lt;=0),Plan!$D$12,0)+IF(AND(N(Plan!$B$13)&gt;0,N(F226)&lt;=0),Plan!$D$13,0)+IF(AND(N(Plan!$B$14)&gt;0,N(G226)&lt;=0),Plan!$D$14,0)+IF(AND(N(Plan!$B$15)&gt;0,N(H226)&lt;=0),Plan!$D$15,0)+IF(AND(N(Plan!$B$16)&gt;0,N(I226)&lt;=0),Plan!$D$16,0)+IF(AND(N(Plan!$B$17)&gt;0,N(J226)&lt;=0),Plan!$D$17,0)+IF(AND(N(Plan!$B$18)&gt;0,N(K226)&lt;=0),Plan!$D$18,0),0)))</f>
        <v/>
      </c>
    </row>
    <row r="228">
      <c r="A228" s="17" t="n">
        <v>224</v>
      </c>
      <c r="B228" s="18">
        <f>IF(N(B227)&lt;=0,0,MAX(0,B227*(1+Plan!$C$9/12)-(Plan!$D$9+IF(Plan!$E$9=$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C228" s="18">
        <f>IF(N(C227)&lt;=0,0,MAX(0,C227*(1+Plan!$C$10/12)-(Plan!$D$10+IF(Plan!$E$10=$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D228" s="18">
        <f>IF(N(D227)&lt;=0,0,MAX(0,D227*(1+Plan!$C$11/12)-(Plan!$D$11+IF(Plan!$E$11=$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E228" s="18">
        <f>IF(N(E227)&lt;=0,0,MAX(0,E227*(1+Plan!$C$12/12)-(Plan!$D$12+IF(Plan!$E$12=$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F228" s="18">
        <f>IF(N(F227)&lt;=0,0,MAX(0,F227*(1+Plan!$C$13/12)-(Plan!$D$13+IF(Plan!$E$13=$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G228" s="18">
        <f>IF(N(G227)&lt;=0,0,MAX(0,G227*(1+Plan!$C$14/12)-(Plan!$D$14+IF(Plan!$E$14=$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H228" s="18">
        <f>IF(N(H227)&lt;=0,0,MAX(0,H227*(1+Plan!$C$15/12)-(Plan!$D$15+IF(Plan!$E$15=$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I228" s="18">
        <f>IF(N(I227)&lt;=0,0,MAX(0,I227*(1+Plan!$C$16/12)-(Plan!$D$16+IF(Plan!$E$16=$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J228" s="18">
        <f>IF(N(J227)&lt;=0,0,MAX(0,J227*(1+Plan!$C$17/12)-(Plan!$D$17+IF(Plan!$E$17=$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K228" s="18">
        <f>IF(N(K227)&lt;=0,0,MAX(0,K227*(1+Plan!$C$18/12)-(Plan!$D$18+IF(Plan!$E$18=$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c r="L228" s="19">
        <f>MIN(IF(N(B227)&gt;0,Plan!$E$9,999),IF(N(C227)&gt;0,Plan!$E$10,999),IF(N(D227)&gt;0,Plan!$E$11,999),IF(N(E227)&gt;0,Plan!$E$12,999),IF(N(F227)&gt;0,Plan!$E$13,999),IF(N(G227)&gt;0,Plan!$E$14,999),IF(N(H227)&gt;0,Plan!$E$15,999),IF(N(I227)&gt;0,Plan!$E$16,999),IF(N(J227)&gt;0,Plan!$E$17,999),IF(N(K227)&gt;0,Plan!$E$18,999))</f>
        <v/>
      </c>
      <c r="M228" s="18">
        <f>IF(N(B227)&lt;=0,0,MIN(B227*(1+Plan!$C$9/12),Plan!$D$9+IF(Plan!$E$9=$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IF(N(C227)&lt;=0,0,MIN(C227*(1+Plan!$C$10/12),Plan!$D$10+IF(Plan!$E$10=$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IF(N(D227)&lt;=0,0,MIN(D227*(1+Plan!$C$11/12),Plan!$D$11+IF(Plan!$E$11=$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IF(N(E227)&lt;=0,0,MIN(E227*(1+Plan!$C$12/12),Plan!$D$12+IF(Plan!$E$12=$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IF(N(F227)&lt;=0,0,MIN(F227*(1+Plan!$C$13/12),Plan!$D$13+IF(Plan!$E$13=$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IF(N(G227)&lt;=0,0,MIN(G227*(1+Plan!$C$14/12),Plan!$D$14+IF(Plan!$E$14=$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IF(N(H227)&lt;=0,0,MIN(H227*(1+Plan!$C$15/12),Plan!$D$15+IF(Plan!$E$15=$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IF(N(I227)&lt;=0,0,MIN(I227*(1+Plan!$C$16/12),Plan!$D$16+IF(Plan!$E$16=$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IF(N(J227)&lt;=0,0,MIN(J227*(1+Plan!$C$17/12),Plan!$D$17+IF(Plan!$E$17=$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IF(N(K227)&lt;=0,0,MIN(K227*(1+Plan!$C$18/12),Plan!$D$18+IF(Plan!$E$18=$L228,Plan!$B$5+IF(AND(N(Plan!$B$9)&gt;0,N(B227)&lt;=0),Plan!$D$9,0)+IF(AND(N(Plan!$B$10)&gt;0,N(C227)&lt;=0),Plan!$D$10,0)+IF(AND(N(Plan!$B$11)&gt;0,N(D227)&lt;=0),Plan!$D$11,0)+IF(AND(N(Plan!$B$12)&gt;0,N(E227)&lt;=0),Plan!$D$12,0)+IF(AND(N(Plan!$B$13)&gt;0,N(F227)&lt;=0),Plan!$D$13,0)+IF(AND(N(Plan!$B$14)&gt;0,N(G227)&lt;=0),Plan!$D$14,0)+IF(AND(N(Plan!$B$15)&gt;0,N(H227)&lt;=0),Plan!$D$15,0)+IF(AND(N(Plan!$B$16)&gt;0,N(I227)&lt;=0),Plan!$D$16,0)+IF(AND(N(Plan!$B$17)&gt;0,N(J227)&lt;=0),Plan!$D$17,0)+IF(AND(N(Plan!$B$18)&gt;0,N(K227)&lt;=0),Plan!$D$18,0),0)))</f>
        <v/>
      </c>
    </row>
    <row r="229">
      <c r="A229" s="17" t="n">
        <v>225</v>
      </c>
      <c r="B229" s="18">
        <f>IF(N(B228)&lt;=0,0,MAX(0,B228*(1+Plan!$C$9/12)-(Plan!$D$9+IF(Plan!$E$9=$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C229" s="18">
        <f>IF(N(C228)&lt;=0,0,MAX(0,C228*(1+Plan!$C$10/12)-(Plan!$D$10+IF(Plan!$E$10=$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D229" s="18">
        <f>IF(N(D228)&lt;=0,0,MAX(0,D228*(1+Plan!$C$11/12)-(Plan!$D$11+IF(Plan!$E$11=$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E229" s="18">
        <f>IF(N(E228)&lt;=0,0,MAX(0,E228*(1+Plan!$C$12/12)-(Plan!$D$12+IF(Plan!$E$12=$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F229" s="18">
        <f>IF(N(F228)&lt;=0,0,MAX(0,F228*(1+Plan!$C$13/12)-(Plan!$D$13+IF(Plan!$E$13=$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G229" s="18">
        <f>IF(N(G228)&lt;=0,0,MAX(0,G228*(1+Plan!$C$14/12)-(Plan!$D$14+IF(Plan!$E$14=$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H229" s="18">
        <f>IF(N(H228)&lt;=0,0,MAX(0,H228*(1+Plan!$C$15/12)-(Plan!$D$15+IF(Plan!$E$15=$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I229" s="18">
        <f>IF(N(I228)&lt;=0,0,MAX(0,I228*(1+Plan!$C$16/12)-(Plan!$D$16+IF(Plan!$E$16=$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J229" s="18">
        <f>IF(N(J228)&lt;=0,0,MAX(0,J228*(1+Plan!$C$17/12)-(Plan!$D$17+IF(Plan!$E$17=$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K229" s="18">
        <f>IF(N(K228)&lt;=0,0,MAX(0,K228*(1+Plan!$C$18/12)-(Plan!$D$18+IF(Plan!$E$18=$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c r="L229" s="19">
        <f>MIN(IF(N(B228)&gt;0,Plan!$E$9,999),IF(N(C228)&gt;0,Plan!$E$10,999),IF(N(D228)&gt;0,Plan!$E$11,999),IF(N(E228)&gt;0,Plan!$E$12,999),IF(N(F228)&gt;0,Plan!$E$13,999),IF(N(G228)&gt;0,Plan!$E$14,999),IF(N(H228)&gt;0,Plan!$E$15,999),IF(N(I228)&gt;0,Plan!$E$16,999),IF(N(J228)&gt;0,Plan!$E$17,999),IF(N(K228)&gt;0,Plan!$E$18,999))</f>
        <v/>
      </c>
      <c r="M229" s="18">
        <f>IF(N(B228)&lt;=0,0,MIN(B228*(1+Plan!$C$9/12),Plan!$D$9+IF(Plan!$E$9=$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IF(N(C228)&lt;=0,0,MIN(C228*(1+Plan!$C$10/12),Plan!$D$10+IF(Plan!$E$10=$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IF(N(D228)&lt;=0,0,MIN(D228*(1+Plan!$C$11/12),Plan!$D$11+IF(Plan!$E$11=$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IF(N(E228)&lt;=0,0,MIN(E228*(1+Plan!$C$12/12),Plan!$D$12+IF(Plan!$E$12=$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IF(N(F228)&lt;=0,0,MIN(F228*(1+Plan!$C$13/12),Plan!$D$13+IF(Plan!$E$13=$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IF(N(G228)&lt;=0,0,MIN(G228*(1+Plan!$C$14/12),Plan!$D$14+IF(Plan!$E$14=$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IF(N(H228)&lt;=0,0,MIN(H228*(1+Plan!$C$15/12),Plan!$D$15+IF(Plan!$E$15=$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IF(N(I228)&lt;=0,0,MIN(I228*(1+Plan!$C$16/12),Plan!$D$16+IF(Plan!$E$16=$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IF(N(J228)&lt;=0,0,MIN(J228*(1+Plan!$C$17/12),Plan!$D$17+IF(Plan!$E$17=$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IF(N(K228)&lt;=0,0,MIN(K228*(1+Plan!$C$18/12),Plan!$D$18+IF(Plan!$E$18=$L229,Plan!$B$5+IF(AND(N(Plan!$B$9)&gt;0,N(B228)&lt;=0),Plan!$D$9,0)+IF(AND(N(Plan!$B$10)&gt;0,N(C228)&lt;=0),Plan!$D$10,0)+IF(AND(N(Plan!$B$11)&gt;0,N(D228)&lt;=0),Plan!$D$11,0)+IF(AND(N(Plan!$B$12)&gt;0,N(E228)&lt;=0),Plan!$D$12,0)+IF(AND(N(Plan!$B$13)&gt;0,N(F228)&lt;=0),Plan!$D$13,0)+IF(AND(N(Plan!$B$14)&gt;0,N(G228)&lt;=0),Plan!$D$14,0)+IF(AND(N(Plan!$B$15)&gt;0,N(H228)&lt;=0),Plan!$D$15,0)+IF(AND(N(Plan!$B$16)&gt;0,N(I228)&lt;=0),Plan!$D$16,0)+IF(AND(N(Plan!$B$17)&gt;0,N(J228)&lt;=0),Plan!$D$17,0)+IF(AND(N(Plan!$B$18)&gt;0,N(K228)&lt;=0),Plan!$D$18,0),0)))</f>
        <v/>
      </c>
    </row>
    <row r="230">
      <c r="A230" s="17" t="n">
        <v>226</v>
      </c>
      <c r="B230" s="18">
        <f>IF(N(B229)&lt;=0,0,MAX(0,B229*(1+Plan!$C$9/12)-(Plan!$D$9+IF(Plan!$E$9=$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C230" s="18">
        <f>IF(N(C229)&lt;=0,0,MAX(0,C229*(1+Plan!$C$10/12)-(Plan!$D$10+IF(Plan!$E$10=$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D230" s="18">
        <f>IF(N(D229)&lt;=0,0,MAX(0,D229*(1+Plan!$C$11/12)-(Plan!$D$11+IF(Plan!$E$11=$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E230" s="18">
        <f>IF(N(E229)&lt;=0,0,MAX(0,E229*(1+Plan!$C$12/12)-(Plan!$D$12+IF(Plan!$E$12=$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F230" s="18">
        <f>IF(N(F229)&lt;=0,0,MAX(0,F229*(1+Plan!$C$13/12)-(Plan!$D$13+IF(Plan!$E$13=$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G230" s="18">
        <f>IF(N(G229)&lt;=0,0,MAX(0,G229*(1+Plan!$C$14/12)-(Plan!$D$14+IF(Plan!$E$14=$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H230" s="18">
        <f>IF(N(H229)&lt;=0,0,MAX(0,H229*(1+Plan!$C$15/12)-(Plan!$D$15+IF(Plan!$E$15=$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I230" s="18">
        <f>IF(N(I229)&lt;=0,0,MAX(0,I229*(1+Plan!$C$16/12)-(Plan!$D$16+IF(Plan!$E$16=$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J230" s="18">
        <f>IF(N(J229)&lt;=0,0,MAX(0,J229*(1+Plan!$C$17/12)-(Plan!$D$17+IF(Plan!$E$17=$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K230" s="18">
        <f>IF(N(K229)&lt;=0,0,MAX(0,K229*(1+Plan!$C$18/12)-(Plan!$D$18+IF(Plan!$E$18=$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c r="L230" s="19">
        <f>MIN(IF(N(B229)&gt;0,Plan!$E$9,999),IF(N(C229)&gt;0,Plan!$E$10,999),IF(N(D229)&gt;0,Plan!$E$11,999),IF(N(E229)&gt;0,Plan!$E$12,999),IF(N(F229)&gt;0,Plan!$E$13,999),IF(N(G229)&gt;0,Plan!$E$14,999),IF(N(H229)&gt;0,Plan!$E$15,999),IF(N(I229)&gt;0,Plan!$E$16,999),IF(N(J229)&gt;0,Plan!$E$17,999),IF(N(K229)&gt;0,Plan!$E$18,999))</f>
        <v/>
      </c>
      <c r="M230" s="18">
        <f>IF(N(B229)&lt;=0,0,MIN(B229*(1+Plan!$C$9/12),Plan!$D$9+IF(Plan!$E$9=$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IF(N(C229)&lt;=0,0,MIN(C229*(1+Plan!$C$10/12),Plan!$D$10+IF(Plan!$E$10=$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IF(N(D229)&lt;=0,0,MIN(D229*(1+Plan!$C$11/12),Plan!$D$11+IF(Plan!$E$11=$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IF(N(E229)&lt;=0,0,MIN(E229*(1+Plan!$C$12/12),Plan!$D$12+IF(Plan!$E$12=$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IF(N(F229)&lt;=0,0,MIN(F229*(1+Plan!$C$13/12),Plan!$D$13+IF(Plan!$E$13=$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IF(N(G229)&lt;=0,0,MIN(G229*(1+Plan!$C$14/12),Plan!$D$14+IF(Plan!$E$14=$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IF(N(H229)&lt;=0,0,MIN(H229*(1+Plan!$C$15/12),Plan!$D$15+IF(Plan!$E$15=$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IF(N(I229)&lt;=0,0,MIN(I229*(1+Plan!$C$16/12),Plan!$D$16+IF(Plan!$E$16=$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IF(N(J229)&lt;=0,0,MIN(J229*(1+Plan!$C$17/12),Plan!$D$17+IF(Plan!$E$17=$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IF(N(K229)&lt;=0,0,MIN(K229*(1+Plan!$C$18/12),Plan!$D$18+IF(Plan!$E$18=$L230,Plan!$B$5+IF(AND(N(Plan!$B$9)&gt;0,N(B229)&lt;=0),Plan!$D$9,0)+IF(AND(N(Plan!$B$10)&gt;0,N(C229)&lt;=0),Plan!$D$10,0)+IF(AND(N(Plan!$B$11)&gt;0,N(D229)&lt;=0),Plan!$D$11,0)+IF(AND(N(Plan!$B$12)&gt;0,N(E229)&lt;=0),Plan!$D$12,0)+IF(AND(N(Plan!$B$13)&gt;0,N(F229)&lt;=0),Plan!$D$13,0)+IF(AND(N(Plan!$B$14)&gt;0,N(G229)&lt;=0),Plan!$D$14,0)+IF(AND(N(Plan!$B$15)&gt;0,N(H229)&lt;=0),Plan!$D$15,0)+IF(AND(N(Plan!$B$16)&gt;0,N(I229)&lt;=0),Plan!$D$16,0)+IF(AND(N(Plan!$B$17)&gt;0,N(J229)&lt;=0),Plan!$D$17,0)+IF(AND(N(Plan!$B$18)&gt;0,N(K229)&lt;=0),Plan!$D$18,0),0)))</f>
        <v/>
      </c>
    </row>
    <row r="231">
      <c r="A231" s="17" t="n">
        <v>227</v>
      </c>
      <c r="B231" s="18">
        <f>IF(N(B230)&lt;=0,0,MAX(0,B230*(1+Plan!$C$9/12)-(Plan!$D$9+IF(Plan!$E$9=$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C231" s="18">
        <f>IF(N(C230)&lt;=0,0,MAX(0,C230*(1+Plan!$C$10/12)-(Plan!$D$10+IF(Plan!$E$10=$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D231" s="18">
        <f>IF(N(D230)&lt;=0,0,MAX(0,D230*(1+Plan!$C$11/12)-(Plan!$D$11+IF(Plan!$E$11=$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E231" s="18">
        <f>IF(N(E230)&lt;=0,0,MAX(0,E230*(1+Plan!$C$12/12)-(Plan!$D$12+IF(Plan!$E$12=$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F231" s="18">
        <f>IF(N(F230)&lt;=0,0,MAX(0,F230*(1+Plan!$C$13/12)-(Plan!$D$13+IF(Plan!$E$13=$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G231" s="18">
        <f>IF(N(G230)&lt;=0,0,MAX(0,G230*(1+Plan!$C$14/12)-(Plan!$D$14+IF(Plan!$E$14=$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H231" s="18">
        <f>IF(N(H230)&lt;=0,0,MAX(0,H230*(1+Plan!$C$15/12)-(Plan!$D$15+IF(Plan!$E$15=$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I231" s="18">
        <f>IF(N(I230)&lt;=0,0,MAX(0,I230*(1+Plan!$C$16/12)-(Plan!$D$16+IF(Plan!$E$16=$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J231" s="18">
        <f>IF(N(J230)&lt;=0,0,MAX(0,J230*(1+Plan!$C$17/12)-(Plan!$D$17+IF(Plan!$E$17=$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K231" s="18">
        <f>IF(N(K230)&lt;=0,0,MAX(0,K230*(1+Plan!$C$18/12)-(Plan!$D$18+IF(Plan!$E$18=$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c r="L231" s="19">
        <f>MIN(IF(N(B230)&gt;0,Plan!$E$9,999),IF(N(C230)&gt;0,Plan!$E$10,999),IF(N(D230)&gt;0,Plan!$E$11,999),IF(N(E230)&gt;0,Plan!$E$12,999),IF(N(F230)&gt;0,Plan!$E$13,999),IF(N(G230)&gt;0,Plan!$E$14,999),IF(N(H230)&gt;0,Plan!$E$15,999),IF(N(I230)&gt;0,Plan!$E$16,999),IF(N(J230)&gt;0,Plan!$E$17,999),IF(N(K230)&gt;0,Plan!$E$18,999))</f>
        <v/>
      </c>
      <c r="M231" s="18">
        <f>IF(N(B230)&lt;=0,0,MIN(B230*(1+Plan!$C$9/12),Plan!$D$9+IF(Plan!$E$9=$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IF(N(C230)&lt;=0,0,MIN(C230*(1+Plan!$C$10/12),Plan!$D$10+IF(Plan!$E$10=$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IF(N(D230)&lt;=0,0,MIN(D230*(1+Plan!$C$11/12),Plan!$D$11+IF(Plan!$E$11=$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IF(N(E230)&lt;=0,0,MIN(E230*(1+Plan!$C$12/12),Plan!$D$12+IF(Plan!$E$12=$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IF(N(F230)&lt;=0,0,MIN(F230*(1+Plan!$C$13/12),Plan!$D$13+IF(Plan!$E$13=$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IF(N(G230)&lt;=0,0,MIN(G230*(1+Plan!$C$14/12),Plan!$D$14+IF(Plan!$E$14=$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IF(N(H230)&lt;=0,0,MIN(H230*(1+Plan!$C$15/12),Plan!$D$15+IF(Plan!$E$15=$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IF(N(I230)&lt;=0,0,MIN(I230*(1+Plan!$C$16/12),Plan!$D$16+IF(Plan!$E$16=$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IF(N(J230)&lt;=0,0,MIN(J230*(1+Plan!$C$17/12),Plan!$D$17+IF(Plan!$E$17=$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IF(N(K230)&lt;=0,0,MIN(K230*(1+Plan!$C$18/12),Plan!$D$18+IF(Plan!$E$18=$L231,Plan!$B$5+IF(AND(N(Plan!$B$9)&gt;0,N(B230)&lt;=0),Plan!$D$9,0)+IF(AND(N(Plan!$B$10)&gt;0,N(C230)&lt;=0),Plan!$D$10,0)+IF(AND(N(Plan!$B$11)&gt;0,N(D230)&lt;=0),Plan!$D$11,0)+IF(AND(N(Plan!$B$12)&gt;0,N(E230)&lt;=0),Plan!$D$12,0)+IF(AND(N(Plan!$B$13)&gt;0,N(F230)&lt;=0),Plan!$D$13,0)+IF(AND(N(Plan!$B$14)&gt;0,N(G230)&lt;=0),Plan!$D$14,0)+IF(AND(N(Plan!$B$15)&gt;0,N(H230)&lt;=0),Plan!$D$15,0)+IF(AND(N(Plan!$B$16)&gt;0,N(I230)&lt;=0),Plan!$D$16,0)+IF(AND(N(Plan!$B$17)&gt;0,N(J230)&lt;=0),Plan!$D$17,0)+IF(AND(N(Plan!$B$18)&gt;0,N(K230)&lt;=0),Plan!$D$18,0),0)))</f>
        <v/>
      </c>
    </row>
    <row r="232">
      <c r="A232" s="17" t="n">
        <v>228</v>
      </c>
      <c r="B232" s="18">
        <f>IF(N(B231)&lt;=0,0,MAX(0,B231*(1+Plan!$C$9/12)-(Plan!$D$9+IF(Plan!$E$9=$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C232" s="18">
        <f>IF(N(C231)&lt;=0,0,MAX(0,C231*(1+Plan!$C$10/12)-(Plan!$D$10+IF(Plan!$E$10=$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D232" s="18">
        <f>IF(N(D231)&lt;=0,0,MAX(0,D231*(1+Plan!$C$11/12)-(Plan!$D$11+IF(Plan!$E$11=$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E232" s="18">
        <f>IF(N(E231)&lt;=0,0,MAX(0,E231*(1+Plan!$C$12/12)-(Plan!$D$12+IF(Plan!$E$12=$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F232" s="18">
        <f>IF(N(F231)&lt;=0,0,MAX(0,F231*(1+Plan!$C$13/12)-(Plan!$D$13+IF(Plan!$E$13=$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G232" s="18">
        <f>IF(N(G231)&lt;=0,0,MAX(0,G231*(1+Plan!$C$14/12)-(Plan!$D$14+IF(Plan!$E$14=$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H232" s="18">
        <f>IF(N(H231)&lt;=0,0,MAX(0,H231*(1+Plan!$C$15/12)-(Plan!$D$15+IF(Plan!$E$15=$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I232" s="18">
        <f>IF(N(I231)&lt;=0,0,MAX(0,I231*(1+Plan!$C$16/12)-(Plan!$D$16+IF(Plan!$E$16=$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J232" s="18">
        <f>IF(N(J231)&lt;=0,0,MAX(0,J231*(1+Plan!$C$17/12)-(Plan!$D$17+IF(Plan!$E$17=$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K232" s="18">
        <f>IF(N(K231)&lt;=0,0,MAX(0,K231*(1+Plan!$C$18/12)-(Plan!$D$18+IF(Plan!$E$18=$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c r="L232" s="19">
        <f>MIN(IF(N(B231)&gt;0,Plan!$E$9,999),IF(N(C231)&gt;0,Plan!$E$10,999),IF(N(D231)&gt;0,Plan!$E$11,999),IF(N(E231)&gt;0,Plan!$E$12,999),IF(N(F231)&gt;0,Plan!$E$13,999),IF(N(G231)&gt;0,Plan!$E$14,999),IF(N(H231)&gt;0,Plan!$E$15,999),IF(N(I231)&gt;0,Plan!$E$16,999),IF(N(J231)&gt;0,Plan!$E$17,999),IF(N(K231)&gt;0,Plan!$E$18,999))</f>
        <v/>
      </c>
      <c r="M232" s="18">
        <f>IF(N(B231)&lt;=0,0,MIN(B231*(1+Plan!$C$9/12),Plan!$D$9+IF(Plan!$E$9=$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IF(N(C231)&lt;=0,0,MIN(C231*(1+Plan!$C$10/12),Plan!$D$10+IF(Plan!$E$10=$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IF(N(D231)&lt;=0,0,MIN(D231*(1+Plan!$C$11/12),Plan!$D$11+IF(Plan!$E$11=$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IF(N(E231)&lt;=0,0,MIN(E231*(1+Plan!$C$12/12),Plan!$D$12+IF(Plan!$E$12=$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IF(N(F231)&lt;=0,0,MIN(F231*(1+Plan!$C$13/12),Plan!$D$13+IF(Plan!$E$13=$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IF(N(G231)&lt;=0,0,MIN(G231*(1+Plan!$C$14/12),Plan!$D$14+IF(Plan!$E$14=$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IF(N(H231)&lt;=0,0,MIN(H231*(1+Plan!$C$15/12),Plan!$D$15+IF(Plan!$E$15=$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IF(N(I231)&lt;=0,0,MIN(I231*(1+Plan!$C$16/12),Plan!$D$16+IF(Plan!$E$16=$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IF(N(J231)&lt;=0,0,MIN(J231*(1+Plan!$C$17/12),Plan!$D$17+IF(Plan!$E$17=$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IF(N(K231)&lt;=0,0,MIN(K231*(1+Plan!$C$18/12),Plan!$D$18+IF(Plan!$E$18=$L232,Plan!$B$5+IF(AND(N(Plan!$B$9)&gt;0,N(B231)&lt;=0),Plan!$D$9,0)+IF(AND(N(Plan!$B$10)&gt;0,N(C231)&lt;=0),Plan!$D$10,0)+IF(AND(N(Plan!$B$11)&gt;0,N(D231)&lt;=0),Plan!$D$11,0)+IF(AND(N(Plan!$B$12)&gt;0,N(E231)&lt;=0),Plan!$D$12,0)+IF(AND(N(Plan!$B$13)&gt;0,N(F231)&lt;=0),Plan!$D$13,0)+IF(AND(N(Plan!$B$14)&gt;0,N(G231)&lt;=0),Plan!$D$14,0)+IF(AND(N(Plan!$B$15)&gt;0,N(H231)&lt;=0),Plan!$D$15,0)+IF(AND(N(Plan!$B$16)&gt;0,N(I231)&lt;=0),Plan!$D$16,0)+IF(AND(N(Plan!$B$17)&gt;0,N(J231)&lt;=0),Plan!$D$17,0)+IF(AND(N(Plan!$B$18)&gt;0,N(K231)&lt;=0),Plan!$D$18,0),0)))</f>
        <v/>
      </c>
    </row>
    <row r="233">
      <c r="A233" s="17" t="n">
        <v>229</v>
      </c>
      <c r="B233" s="18">
        <f>IF(N(B232)&lt;=0,0,MAX(0,B232*(1+Plan!$C$9/12)-(Plan!$D$9+IF(Plan!$E$9=$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C233" s="18">
        <f>IF(N(C232)&lt;=0,0,MAX(0,C232*(1+Plan!$C$10/12)-(Plan!$D$10+IF(Plan!$E$10=$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D233" s="18">
        <f>IF(N(D232)&lt;=0,0,MAX(0,D232*(1+Plan!$C$11/12)-(Plan!$D$11+IF(Plan!$E$11=$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E233" s="18">
        <f>IF(N(E232)&lt;=0,0,MAX(0,E232*(1+Plan!$C$12/12)-(Plan!$D$12+IF(Plan!$E$12=$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F233" s="18">
        <f>IF(N(F232)&lt;=0,0,MAX(0,F232*(1+Plan!$C$13/12)-(Plan!$D$13+IF(Plan!$E$13=$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G233" s="18">
        <f>IF(N(G232)&lt;=0,0,MAX(0,G232*(1+Plan!$C$14/12)-(Plan!$D$14+IF(Plan!$E$14=$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H233" s="18">
        <f>IF(N(H232)&lt;=0,0,MAX(0,H232*(1+Plan!$C$15/12)-(Plan!$D$15+IF(Plan!$E$15=$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I233" s="18">
        <f>IF(N(I232)&lt;=0,0,MAX(0,I232*(1+Plan!$C$16/12)-(Plan!$D$16+IF(Plan!$E$16=$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J233" s="18">
        <f>IF(N(J232)&lt;=0,0,MAX(0,J232*(1+Plan!$C$17/12)-(Plan!$D$17+IF(Plan!$E$17=$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K233" s="18">
        <f>IF(N(K232)&lt;=0,0,MAX(0,K232*(1+Plan!$C$18/12)-(Plan!$D$18+IF(Plan!$E$18=$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c r="L233" s="19">
        <f>MIN(IF(N(B232)&gt;0,Plan!$E$9,999),IF(N(C232)&gt;0,Plan!$E$10,999),IF(N(D232)&gt;0,Plan!$E$11,999),IF(N(E232)&gt;0,Plan!$E$12,999),IF(N(F232)&gt;0,Plan!$E$13,999),IF(N(G232)&gt;0,Plan!$E$14,999),IF(N(H232)&gt;0,Plan!$E$15,999),IF(N(I232)&gt;0,Plan!$E$16,999),IF(N(J232)&gt;0,Plan!$E$17,999),IF(N(K232)&gt;0,Plan!$E$18,999))</f>
        <v/>
      </c>
      <c r="M233" s="18">
        <f>IF(N(B232)&lt;=0,0,MIN(B232*(1+Plan!$C$9/12),Plan!$D$9+IF(Plan!$E$9=$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IF(N(C232)&lt;=0,0,MIN(C232*(1+Plan!$C$10/12),Plan!$D$10+IF(Plan!$E$10=$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IF(N(D232)&lt;=0,0,MIN(D232*(1+Plan!$C$11/12),Plan!$D$11+IF(Plan!$E$11=$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IF(N(E232)&lt;=0,0,MIN(E232*(1+Plan!$C$12/12),Plan!$D$12+IF(Plan!$E$12=$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IF(N(F232)&lt;=0,0,MIN(F232*(1+Plan!$C$13/12),Plan!$D$13+IF(Plan!$E$13=$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IF(N(G232)&lt;=0,0,MIN(G232*(1+Plan!$C$14/12),Plan!$D$14+IF(Plan!$E$14=$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IF(N(H232)&lt;=0,0,MIN(H232*(1+Plan!$C$15/12),Plan!$D$15+IF(Plan!$E$15=$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IF(N(I232)&lt;=0,0,MIN(I232*(1+Plan!$C$16/12),Plan!$D$16+IF(Plan!$E$16=$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IF(N(J232)&lt;=0,0,MIN(J232*(1+Plan!$C$17/12),Plan!$D$17+IF(Plan!$E$17=$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IF(N(K232)&lt;=0,0,MIN(K232*(1+Plan!$C$18/12),Plan!$D$18+IF(Plan!$E$18=$L233,Plan!$B$5+IF(AND(N(Plan!$B$9)&gt;0,N(B232)&lt;=0),Plan!$D$9,0)+IF(AND(N(Plan!$B$10)&gt;0,N(C232)&lt;=0),Plan!$D$10,0)+IF(AND(N(Plan!$B$11)&gt;0,N(D232)&lt;=0),Plan!$D$11,0)+IF(AND(N(Plan!$B$12)&gt;0,N(E232)&lt;=0),Plan!$D$12,0)+IF(AND(N(Plan!$B$13)&gt;0,N(F232)&lt;=0),Plan!$D$13,0)+IF(AND(N(Plan!$B$14)&gt;0,N(G232)&lt;=0),Plan!$D$14,0)+IF(AND(N(Plan!$B$15)&gt;0,N(H232)&lt;=0),Plan!$D$15,0)+IF(AND(N(Plan!$B$16)&gt;0,N(I232)&lt;=0),Plan!$D$16,0)+IF(AND(N(Plan!$B$17)&gt;0,N(J232)&lt;=0),Plan!$D$17,0)+IF(AND(N(Plan!$B$18)&gt;0,N(K232)&lt;=0),Plan!$D$18,0),0)))</f>
        <v/>
      </c>
    </row>
    <row r="234">
      <c r="A234" s="17" t="n">
        <v>230</v>
      </c>
      <c r="B234" s="18">
        <f>IF(N(B233)&lt;=0,0,MAX(0,B233*(1+Plan!$C$9/12)-(Plan!$D$9+IF(Plan!$E$9=$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C234" s="18">
        <f>IF(N(C233)&lt;=0,0,MAX(0,C233*(1+Plan!$C$10/12)-(Plan!$D$10+IF(Plan!$E$10=$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D234" s="18">
        <f>IF(N(D233)&lt;=0,0,MAX(0,D233*(1+Plan!$C$11/12)-(Plan!$D$11+IF(Plan!$E$11=$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E234" s="18">
        <f>IF(N(E233)&lt;=0,0,MAX(0,E233*(1+Plan!$C$12/12)-(Plan!$D$12+IF(Plan!$E$12=$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F234" s="18">
        <f>IF(N(F233)&lt;=0,0,MAX(0,F233*(1+Plan!$C$13/12)-(Plan!$D$13+IF(Plan!$E$13=$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G234" s="18">
        <f>IF(N(G233)&lt;=0,0,MAX(0,G233*(1+Plan!$C$14/12)-(Plan!$D$14+IF(Plan!$E$14=$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H234" s="18">
        <f>IF(N(H233)&lt;=0,0,MAX(0,H233*(1+Plan!$C$15/12)-(Plan!$D$15+IF(Plan!$E$15=$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I234" s="18">
        <f>IF(N(I233)&lt;=0,0,MAX(0,I233*(1+Plan!$C$16/12)-(Plan!$D$16+IF(Plan!$E$16=$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J234" s="18">
        <f>IF(N(J233)&lt;=0,0,MAX(0,J233*(1+Plan!$C$17/12)-(Plan!$D$17+IF(Plan!$E$17=$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K234" s="18">
        <f>IF(N(K233)&lt;=0,0,MAX(0,K233*(1+Plan!$C$18/12)-(Plan!$D$18+IF(Plan!$E$18=$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c r="L234" s="19">
        <f>MIN(IF(N(B233)&gt;0,Plan!$E$9,999),IF(N(C233)&gt;0,Plan!$E$10,999),IF(N(D233)&gt;0,Plan!$E$11,999),IF(N(E233)&gt;0,Plan!$E$12,999),IF(N(F233)&gt;0,Plan!$E$13,999),IF(N(G233)&gt;0,Plan!$E$14,999),IF(N(H233)&gt;0,Plan!$E$15,999),IF(N(I233)&gt;0,Plan!$E$16,999),IF(N(J233)&gt;0,Plan!$E$17,999),IF(N(K233)&gt;0,Plan!$E$18,999))</f>
        <v/>
      </c>
      <c r="M234" s="18">
        <f>IF(N(B233)&lt;=0,0,MIN(B233*(1+Plan!$C$9/12),Plan!$D$9+IF(Plan!$E$9=$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IF(N(C233)&lt;=0,0,MIN(C233*(1+Plan!$C$10/12),Plan!$D$10+IF(Plan!$E$10=$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IF(N(D233)&lt;=0,0,MIN(D233*(1+Plan!$C$11/12),Plan!$D$11+IF(Plan!$E$11=$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IF(N(E233)&lt;=0,0,MIN(E233*(1+Plan!$C$12/12),Plan!$D$12+IF(Plan!$E$12=$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IF(N(F233)&lt;=0,0,MIN(F233*(1+Plan!$C$13/12),Plan!$D$13+IF(Plan!$E$13=$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IF(N(G233)&lt;=0,0,MIN(G233*(1+Plan!$C$14/12),Plan!$D$14+IF(Plan!$E$14=$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IF(N(H233)&lt;=0,0,MIN(H233*(1+Plan!$C$15/12),Plan!$D$15+IF(Plan!$E$15=$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IF(N(I233)&lt;=0,0,MIN(I233*(1+Plan!$C$16/12),Plan!$D$16+IF(Plan!$E$16=$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IF(N(J233)&lt;=0,0,MIN(J233*(1+Plan!$C$17/12),Plan!$D$17+IF(Plan!$E$17=$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IF(N(K233)&lt;=0,0,MIN(K233*(1+Plan!$C$18/12),Plan!$D$18+IF(Plan!$E$18=$L234,Plan!$B$5+IF(AND(N(Plan!$B$9)&gt;0,N(B233)&lt;=0),Plan!$D$9,0)+IF(AND(N(Plan!$B$10)&gt;0,N(C233)&lt;=0),Plan!$D$10,0)+IF(AND(N(Plan!$B$11)&gt;0,N(D233)&lt;=0),Plan!$D$11,0)+IF(AND(N(Plan!$B$12)&gt;0,N(E233)&lt;=0),Plan!$D$12,0)+IF(AND(N(Plan!$B$13)&gt;0,N(F233)&lt;=0),Plan!$D$13,0)+IF(AND(N(Plan!$B$14)&gt;0,N(G233)&lt;=0),Plan!$D$14,0)+IF(AND(N(Plan!$B$15)&gt;0,N(H233)&lt;=0),Plan!$D$15,0)+IF(AND(N(Plan!$B$16)&gt;0,N(I233)&lt;=0),Plan!$D$16,0)+IF(AND(N(Plan!$B$17)&gt;0,N(J233)&lt;=0),Plan!$D$17,0)+IF(AND(N(Plan!$B$18)&gt;0,N(K233)&lt;=0),Plan!$D$18,0),0)))</f>
        <v/>
      </c>
    </row>
    <row r="235">
      <c r="A235" s="17" t="n">
        <v>231</v>
      </c>
      <c r="B235" s="18">
        <f>IF(N(B234)&lt;=0,0,MAX(0,B234*(1+Plan!$C$9/12)-(Plan!$D$9+IF(Plan!$E$9=$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C235" s="18">
        <f>IF(N(C234)&lt;=0,0,MAX(0,C234*(1+Plan!$C$10/12)-(Plan!$D$10+IF(Plan!$E$10=$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D235" s="18">
        <f>IF(N(D234)&lt;=0,0,MAX(0,D234*(1+Plan!$C$11/12)-(Plan!$D$11+IF(Plan!$E$11=$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E235" s="18">
        <f>IF(N(E234)&lt;=0,0,MAX(0,E234*(1+Plan!$C$12/12)-(Plan!$D$12+IF(Plan!$E$12=$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F235" s="18">
        <f>IF(N(F234)&lt;=0,0,MAX(0,F234*(1+Plan!$C$13/12)-(Plan!$D$13+IF(Plan!$E$13=$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G235" s="18">
        <f>IF(N(G234)&lt;=0,0,MAX(0,G234*(1+Plan!$C$14/12)-(Plan!$D$14+IF(Plan!$E$14=$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H235" s="18">
        <f>IF(N(H234)&lt;=0,0,MAX(0,H234*(1+Plan!$C$15/12)-(Plan!$D$15+IF(Plan!$E$15=$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I235" s="18">
        <f>IF(N(I234)&lt;=0,0,MAX(0,I234*(1+Plan!$C$16/12)-(Plan!$D$16+IF(Plan!$E$16=$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J235" s="18">
        <f>IF(N(J234)&lt;=0,0,MAX(0,J234*(1+Plan!$C$17/12)-(Plan!$D$17+IF(Plan!$E$17=$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K235" s="18">
        <f>IF(N(K234)&lt;=0,0,MAX(0,K234*(1+Plan!$C$18/12)-(Plan!$D$18+IF(Plan!$E$18=$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c r="L235" s="19">
        <f>MIN(IF(N(B234)&gt;0,Plan!$E$9,999),IF(N(C234)&gt;0,Plan!$E$10,999),IF(N(D234)&gt;0,Plan!$E$11,999),IF(N(E234)&gt;0,Plan!$E$12,999),IF(N(F234)&gt;0,Plan!$E$13,999),IF(N(G234)&gt;0,Plan!$E$14,999),IF(N(H234)&gt;0,Plan!$E$15,999),IF(N(I234)&gt;0,Plan!$E$16,999),IF(N(J234)&gt;0,Plan!$E$17,999),IF(N(K234)&gt;0,Plan!$E$18,999))</f>
        <v/>
      </c>
      <c r="M235" s="18">
        <f>IF(N(B234)&lt;=0,0,MIN(B234*(1+Plan!$C$9/12),Plan!$D$9+IF(Plan!$E$9=$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IF(N(C234)&lt;=0,0,MIN(C234*(1+Plan!$C$10/12),Plan!$D$10+IF(Plan!$E$10=$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IF(N(D234)&lt;=0,0,MIN(D234*(1+Plan!$C$11/12),Plan!$D$11+IF(Plan!$E$11=$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IF(N(E234)&lt;=0,0,MIN(E234*(1+Plan!$C$12/12),Plan!$D$12+IF(Plan!$E$12=$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IF(N(F234)&lt;=0,0,MIN(F234*(1+Plan!$C$13/12),Plan!$D$13+IF(Plan!$E$13=$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IF(N(G234)&lt;=0,0,MIN(G234*(1+Plan!$C$14/12),Plan!$D$14+IF(Plan!$E$14=$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IF(N(H234)&lt;=0,0,MIN(H234*(1+Plan!$C$15/12),Plan!$D$15+IF(Plan!$E$15=$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IF(N(I234)&lt;=0,0,MIN(I234*(1+Plan!$C$16/12),Plan!$D$16+IF(Plan!$E$16=$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IF(N(J234)&lt;=0,0,MIN(J234*(1+Plan!$C$17/12),Plan!$D$17+IF(Plan!$E$17=$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IF(N(K234)&lt;=0,0,MIN(K234*(1+Plan!$C$18/12),Plan!$D$18+IF(Plan!$E$18=$L235,Plan!$B$5+IF(AND(N(Plan!$B$9)&gt;0,N(B234)&lt;=0),Plan!$D$9,0)+IF(AND(N(Plan!$B$10)&gt;0,N(C234)&lt;=0),Plan!$D$10,0)+IF(AND(N(Plan!$B$11)&gt;0,N(D234)&lt;=0),Plan!$D$11,0)+IF(AND(N(Plan!$B$12)&gt;0,N(E234)&lt;=0),Plan!$D$12,0)+IF(AND(N(Plan!$B$13)&gt;0,N(F234)&lt;=0),Plan!$D$13,0)+IF(AND(N(Plan!$B$14)&gt;0,N(G234)&lt;=0),Plan!$D$14,0)+IF(AND(N(Plan!$B$15)&gt;0,N(H234)&lt;=0),Plan!$D$15,0)+IF(AND(N(Plan!$B$16)&gt;0,N(I234)&lt;=0),Plan!$D$16,0)+IF(AND(N(Plan!$B$17)&gt;0,N(J234)&lt;=0),Plan!$D$17,0)+IF(AND(N(Plan!$B$18)&gt;0,N(K234)&lt;=0),Plan!$D$18,0),0)))</f>
        <v/>
      </c>
    </row>
    <row r="236">
      <c r="A236" s="17" t="n">
        <v>232</v>
      </c>
      <c r="B236" s="18">
        <f>IF(N(B235)&lt;=0,0,MAX(0,B235*(1+Plan!$C$9/12)-(Plan!$D$9+IF(Plan!$E$9=$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C236" s="18">
        <f>IF(N(C235)&lt;=0,0,MAX(0,C235*(1+Plan!$C$10/12)-(Plan!$D$10+IF(Plan!$E$10=$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D236" s="18">
        <f>IF(N(D235)&lt;=0,0,MAX(0,D235*(1+Plan!$C$11/12)-(Plan!$D$11+IF(Plan!$E$11=$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E236" s="18">
        <f>IF(N(E235)&lt;=0,0,MAX(0,E235*(1+Plan!$C$12/12)-(Plan!$D$12+IF(Plan!$E$12=$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F236" s="18">
        <f>IF(N(F235)&lt;=0,0,MAX(0,F235*(1+Plan!$C$13/12)-(Plan!$D$13+IF(Plan!$E$13=$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G236" s="18">
        <f>IF(N(G235)&lt;=0,0,MAX(0,G235*(1+Plan!$C$14/12)-(Plan!$D$14+IF(Plan!$E$14=$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H236" s="18">
        <f>IF(N(H235)&lt;=0,0,MAX(0,H235*(1+Plan!$C$15/12)-(Plan!$D$15+IF(Plan!$E$15=$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I236" s="18">
        <f>IF(N(I235)&lt;=0,0,MAX(0,I235*(1+Plan!$C$16/12)-(Plan!$D$16+IF(Plan!$E$16=$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J236" s="18">
        <f>IF(N(J235)&lt;=0,0,MAX(0,J235*(1+Plan!$C$17/12)-(Plan!$D$17+IF(Plan!$E$17=$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K236" s="18">
        <f>IF(N(K235)&lt;=0,0,MAX(0,K235*(1+Plan!$C$18/12)-(Plan!$D$18+IF(Plan!$E$18=$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c r="L236" s="19">
        <f>MIN(IF(N(B235)&gt;0,Plan!$E$9,999),IF(N(C235)&gt;0,Plan!$E$10,999),IF(N(D235)&gt;0,Plan!$E$11,999),IF(N(E235)&gt;0,Plan!$E$12,999),IF(N(F235)&gt;0,Plan!$E$13,999),IF(N(G235)&gt;0,Plan!$E$14,999),IF(N(H235)&gt;0,Plan!$E$15,999),IF(N(I235)&gt;0,Plan!$E$16,999),IF(N(J235)&gt;0,Plan!$E$17,999),IF(N(K235)&gt;0,Plan!$E$18,999))</f>
        <v/>
      </c>
      <c r="M236" s="18">
        <f>IF(N(B235)&lt;=0,0,MIN(B235*(1+Plan!$C$9/12),Plan!$D$9+IF(Plan!$E$9=$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IF(N(C235)&lt;=0,0,MIN(C235*(1+Plan!$C$10/12),Plan!$D$10+IF(Plan!$E$10=$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IF(N(D235)&lt;=0,0,MIN(D235*(1+Plan!$C$11/12),Plan!$D$11+IF(Plan!$E$11=$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IF(N(E235)&lt;=0,0,MIN(E235*(1+Plan!$C$12/12),Plan!$D$12+IF(Plan!$E$12=$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IF(N(F235)&lt;=0,0,MIN(F235*(1+Plan!$C$13/12),Plan!$D$13+IF(Plan!$E$13=$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IF(N(G235)&lt;=0,0,MIN(G235*(1+Plan!$C$14/12),Plan!$D$14+IF(Plan!$E$14=$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IF(N(H235)&lt;=0,0,MIN(H235*(1+Plan!$C$15/12),Plan!$D$15+IF(Plan!$E$15=$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IF(N(I235)&lt;=0,0,MIN(I235*(1+Plan!$C$16/12),Plan!$D$16+IF(Plan!$E$16=$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IF(N(J235)&lt;=0,0,MIN(J235*(1+Plan!$C$17/12),Plan!$D$17+IF(Plan!$E$17=$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IF(N(K235)&lt;=0,0,MIN(K235*(1+Plan!$C$18/12),Plan!$D$18+IF(Plan!$E$18=$L236,Plan!$B$5+IF(AND(N(Plan!$B$9)&gt;0,N(B235)&lt;=0),Plan!$D$9,0)+IF(AND(N(Plan!$B$10)&gt;0,N(C235)&lt;=0),Plan!$D$10,0)+IF(AND(N(Plan!$B$11)&gt;0,N(D235)&lt;=0),Plan!$D$11,0)+IF(AND(N(Plan!$B$12)&gt;0,N(E235)&lt;=0),Plan!$D$12,0)+IF(AND(N(Plan!$B$13)&gt;0,N(F235)&lt;=0),Plan!$D$13,0)+IF(AND(N(Plan!$B$14)&gt;0,N(G235)&lt;=0),Plan!$D$14,0)+IF(AND(N(Plan!$B$15)&gt;0,N(H235)&lt;=0),Plan!$D$15,0)+IF(AND(N(Plan!$B$16)&gt;0,N(I235)&lt;=0),Plan!$D$16,0)+IF(AND(N(Plan!$B$17)&gt;0,N(J235)&lt;=0),Plan!$D$17,0)+IF(AND(N(Plan!$B$18)&gt;0,N(K235)&lt;=0),Plan!$D$18,0),0)))</f>
        <v/>
      </c>
    </row>
    <row r="237">
      <c r="A237" s="17" t="n">
        <v>233</v>
      </c>
      <c r="B237" s="18">
        <f>IF(N(B236)&lt;=0,0,MAX(0,B236*(1+Plan!$C$9/12)-(Plan!$D$9+IF(Plan!$E$9=$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C237" s="18">
        <f>IF(N(C236)&lt;=0,0,MAX(0,C236*(1+Plan!$C$10/12)-(Plan!$D$10+IF(Plan!$E$10=$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D237" s="18">
        <f>IF(N(D236)&lt;=0,0,MAX(0,D236*(1+Plan!$C$11/12)-(Plan!$D$11+IF(Plan!$E$11=$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E237" s="18">
        <f>IF(N(E236)&lt;=0,0,MAX(0,E236*(1+Plan!$C$12/12)-(Plan!$D$12+IF(Plan!$E$12=$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F237" s="18">
        <f>IF(N(F236)&lt;=0,0,MAX(0,F236*(1+Plan!$C$13/12)-(Plan!$D$13+IF(Plan!$E$13=$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G237" s="18">
        <f>IF(N(G236)&lt;=0,0,MAX(0,G236*(1+Plan!$C$14/12)-(Plan!$D$14+IF(Plan!$E$14=$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H237" s="18">
        <f>IF(N(H236)&lt;=0,0,MAX(0,H236*(1+Plan!$C$15/12)-(Plan!$D$15+IF(Plan!$E$15=$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I237" s="18">
        <f>IF(N(I236)&lt;=0,0,MAX(0,I236*(1+Plan!$C$16/12)-(Plan!$D$16+IF(Plan!$E$16=$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J237" s="18">
        <f>IF(N(J236)&lt;=0,0,MAX(0,J236*(1+Plan!$C$17/12)-(Plan!$D$17+IF(Plan!$E$17=$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K237" s="18">
        <f>IF(N(K236)&lt;=0,0,MAX(0,K236*(1+Plan!$C$18/12)-(Plan!$D$18+IF(Plan!$E$18=$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c r="L237" s="19">
        <f>MIN(IF(N(B236)&gt;0,Plan!$E$9,999),IF(N(C236)&gt;0,Plan!$E$10,999),IF(N(D236)&gt;0,Plan!$E$11,999),IF(N(E236)&gt;0,Plan!$E$12,999),IF(N(F236)&gt;0,Plan!$E$13,999),IF(N(G236)&gt;0,Plan!$E$14,999),IF(N(H236)&gt;0,Plan!$E$15,999),IF(N(I236)&gt;0,Plan!$E$16,999),IF(N(J236)&gt;0,Plan!$E$17,999),IF(N(K236)&gt;0,Plan!$E$18,999))</f>
        <v/>
      </c>
      <c r="M237" s="18">
        <f>IF(N(B236)&lt;=0,0,MIN(B236*(1+Plan!$C$9/12),Plan!$D$9+IF(Plan!$E$9=$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IF(N(C236)&lt;=0,0,MIN(C236*(1+Plan!$C$10/12),Plan!$D$10+IF(Plan!$E$10=$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IF(N(D236)&lt;=0,0,MIN(D236*(1+Plan!$C$11/12),Plan!$D$11+IF(Plan!$E$11=$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IF(N(E236)&lt;=0,0,MIN(E236*(1+Plan!$C$12/12),Plan!$D$12+IF(Plan!$E$12=$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IF(N(F236)&lt;=0,0,MIN(F236*(1+Plan!$C$13/12),Plan!$D$13+IF(Plan!$E$13=$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IF(N(G236)&lt;=0,0,MIN(G236*(1+Plan!$C$14/12),Plan!$D$14+IF(Plan!$E$14=$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IF(N(H236)&lt;=0,0,MIN(H236*(1+Plan!$C$15/12),Plan!$D$15+IF(Plan!$E$15=$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IF(N(I236)&lt;=0,0,MIN(I236*(1+Plan!$C$16/12),Plan!$D$16+IF(Plan!$E$16=$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IF(N(J236)&lt;=0,0,MIN(J236*(1+Plan!$C$17/12),Plan!$D$17+IF(Plan!$E$17=$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IF(N(K236)&lt;=0,0,MIN(K236*(1+Plan!$C$18/12),Plan!$D$18+IF(Plan!$E$18=$L237,Plan!$B$5+IF(AND(N(Plan!$B$9)&gt;0,N(B236)&lt;=0),Plan!$D$9,0)+IF(AND(N(Plan!$B$10)&gt;0,N(C236)&lt;=0),Plan!$D$10,0)+IF(AND(N(Plan!$B$11)&gt;0,N(D236)&lt;=0),Plan!$D$11,0)+IF(AND(N(Plan!$B$12)&gt;0,N(E236)&lt;=0),Plan!$D$12,0)+IF(AND(N(Plan!$B$13)&gt;0,N(F236)&lt;=0),Plan!$D$13,0)+IF(AND(N(Plan!$B$14)&gt;0,N(G236)&lt;=0),Plan!$D$14,0)+IF(AND(N(Plan!$B$15)&gt;0,N(H236)&lt;=0),Plan!$D$15,0)+IF(AND(N(Plan!$B$16)&gt;0,N(I236)&lt;=0),Plan!$D$16,0)+IF(AND(N(Plan!$B$17)&gt;0,N(J236)&lt;=0),Plan!$D$17,0)+IF(AND(N(Plan!$B$18)&gt;0,N(K236)&lt;=0),Plan!$D$18,0),0)))</f>
        <v/>
      </c>
    </row>
    <row r="238">
      <c r="A238" s="17" t="n">
        <v>234</v>
      </c>
      <c r="B238" s="18">
        <f>IF(N(B237)&lt;=0,0,MAX(0,B237*(1+Plan!$C$9/12)-(Plan!$D$9+IF(Plan!$E$9=$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C238" s="18">
        <f>IF(N(C237)&lt;=0,0,MAX(0,C237*(1+Plan!$C$10/12)-(Plan!$D$10+IF(Plan!$E$10=$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D238" s="18">
        <f>IF(N(D237)&lt;=0,0,MAX(0,D237*(1+Plan!$C$11/12)-(Plan!$D$11+IF(Plan!$E$11=$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E238" s="18">
        <f>IF(N(E237)&lt;=0,0,MAX(0,E237*(1+Plan!$C$12/12)-(Plan!$D$12+IF(Plan!$E$12=$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F238" s="18">
        <f>IF(N(F237)&lt;=0,0,MAX(0,F237*(1+Plan!$C$13/12)-(Plan!$D$13+IF(Plan!$E$13=$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G238" s="18">
        <f>IF(N(G237)&lt;=0,0,MAX(0,G237*(1+Plan!$C$14/12)-(Plan!$D$14+IF(Plan!$E$14=$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H238" s="18">
        <f>IF(N(H237)&lt;=0,0,MAX(0,H237*(1+Plan!$C$15/12)-(Plan!$D$15+IF(Plan!$E$15=$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I238" s="18">
        <f>IF(N(I237)&lt;=0,0,MAX(0,I237*(1+Plan!$C$16/12)-(Plan!$D$16+IF(Plan!$E$16=$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J238" s="18">
        <f>IF(N(J237)&lt;=0,0,MAX(0,J237*(1+Plan!$C$17/12)-(Plan!$D$17+IF(Plan!$E$17=$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K238" s="18">
        <f>IF(N(K237)&lt;=0,0,MAX(0,K237*(1+Plan!$C$18/12)-(Plan!$D$18+IF(Plan!$E$18=$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c r="L238" s="19">
        <f>MIN(IF(N(B237)&gt;0,Plan!$E$9,999),IF(N(C237)&gt;0,Plan!$E$10,999),IF(N(D237)&gt;0,Plan!$E$11,999),IF(N(E237)&gt;0,Plan!$E$12,999),IF(N(F237)&gt;0,Plan!$E$13,999),IF(N(G237)&gt;0,Plan!$E$14,999),IF(N(H237)&gt;0,Plan!$E$15,999),IF(N(I237)&gt;0,Plan!$E$16,999),IF(N(J237)&gt;0,Plan!$E$17,999),IF(N(K237)&gt;0,Plan!$E$18,999))</f>
        <v/>
      </c>
      <c r="M238" s="18">
        <f>IF(N(B237)&lt;=0,0,MIN(B237*(1+Plan!$C$9/12),Plan!$D$9+IF(Plan!$E$9=$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IF(N(C237)&lt;=0,0,MIN(C237*(1+Plan!$C$10/12),Plan!$D$10+IF(Plan!$E$10=$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IF(N(D237)&lt;=0,0,MIN(D237*(1+Plan!$C$11/12),Plan!$D$11+IF(Plan!$E$11=$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IF(N(E237)&lt;=0,0,MIN(E237*(1+Plan!$C$12/12),Plan!$D$12+IF(Plan!$E$12=$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IF(N(F237)&lt;=0,0,MIN(F237*(1+Plan!$C$13/12),Plan!$D$13+IF(Plan!$E$13=$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IF(N(G237)&lt;=0,0,MIN(G237*(1+Plan!$C$14/12),Plan!$D$14+IF(Plan!$E$14=$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IF(N(H237)&lt;=0,0,MIN(H237*(1+Plan!$C$15/12),Plan!$D$15+IF(Plan!$E$15=$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IF(N(I237)&lt;=0,0,MIN(I237*(1+Plan!$C$16/12),Plan!$D$16+IF(Plan!$E$16=$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IF(N(J237)&lt;=0,0,MIN(J237*(1+Plan!$C$17/12),Plan!$D$17+IF(Plan!$E$17=$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IF(N(K237)&lt;=0,0,MIN(K237*(1+Plan!$C$18/12),Plan!$D$18+IF(Plan!$E$18=$L238,Plan!$B$5+IF(AND(N(Plan!$B$9)&gt;0,N(B237)&lt;=0),Plan!$D$9,0)+IF(AND(N(Plan!$B$10)&gt;0,N(C237)&lt;=0),Plan!$D$10,0)+IF(AND(N(Plan!$B$11)&gt;0,N(D237)&lt;=0),Plan!$D$11,0)+IF(AND(N(Plan!$B$12)&gt;0,N(E237)&lt;=0),Plan!$D$12,0)+IF(AND(N(Plan!$B$13)&gt;0,N(F237)&lt;=0),Plan!$D$13,0)+IF(AND(N(Plan!$B$14)&gt;0,N(G237)&lt;=0),Plan!$D$14,0)+IF(AND(N(Plan!$B$15)&gt;0,N(H237)&lt;=0),Plan!$D$15,0)+IF(AND(N(Plan!$B$16)&gt;0,N(I237)&lt;=0),Plan!$D$16,0)+IF(AND(N(Plan!$B$17)&gt;0,N(J237)&lt;=0),Plan!$D$17,0)+IF(AND(N(Plan!$B$18)&gt;0,N(K237)&lt;=0),Plan!$D$18,0),0)))</f>
        <v/>
      </c>
    </row>
    <row r="239">
      <c r="A239" s="17" t="n">
        <v>235</v>
      </c>
      <c r="B239" s="18">
        <f>IF(N(B238)&lt;=0,0,MAX(0,B238*(1+Plan!$C$9/12)-(Plan!$D$9+IF(Plan!$E$9=$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C239" s="18">
        <f>IF(N(C238)&lt;=0,0,MAX(0,C238*(1+Plan!$C$10/12)-(Plan!$D$10+IF(Plan!$E$10=$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D239" s="18">
        <f>IF(N(D238)&lt;=0,0,MAX(0,D238*(1+Plan!$C$11/12)-(Plan!$D$11+IF(Plan!$E$11=$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E239" s="18">
        <f>IF(N(E238)&lt;=0,0,MAX(0,E238*(1+Plan!$C$12/12)-(Plan!$D$12+IF(Plan!$E$12=$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F239" s="18">
        <f>IF(N(F238)&lt;=0,0,MAX(0,F238*(1+Plan!$C$13/12)-(Plan!$D$13+IF(Plan!$E$13=$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G239" s="18">
        <f>IF(N(G238)&lt;=0,0,MAX(0,G238*(1+Plan!$C$14/12)-(Plan!$D$14+IF(Plan!$E$14=$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H239" s="18">
        <f>IF(N(H238)&lt;=0,0,MAX(0,H238*(1+Plan!$C$15/12)-(Plan!$D$15+IF(Plan!$E$15=$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I239" s="18">
        <f>IF(N(I238)&lt;=0,0,MAX(0,I238*(1+Plan!$C$16/12)-(Plan!$D$16+IF(Plan!$E$16=$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J239" s="18">
        <f>IF(N(J238)&lt;=0,0,MAX(0,J238*(1+Plan!$C$17/12)-(Plan!$D$17+IF(Plan!$E$17=$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K239" s="18">
        <f>IF(N(K238)&lt;=0,0,MAX(0,K238*(1+Plan!$C$18/12)-(Plan!$D$18+IF(Plan!$E$18=$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c r="L239" s="19">
        <f>MIN(IF(N(B238)&gt;0,Plan!$E$9,999),IF(N(C238)&gt;0,Plan!$E$10,999),IF(N(D238)&gt;0,Plan!$E$11,999),IF(N(E238)&gt;0,Plan!$E$12,999),IF(N(F238)&gt;0,Plan!$E$13,999),IF(N(G238)&gt;0,Plan!$E$14,999),IF(N(H238)&gt;0,Plan!$E$15,999),IF(N(I238)&gt;0,Plan!$E$16,999),IF(N(J238)&gt;0,Plan!$E$17,999),IF(N(K238)&gt;0,Plan!$E$18,999))</f>
        <v/>
      </c>
      <c r="M239" s="18">
        <f>IF(N(B238)&lt;=0,0,MIN(B238*(1+Plan!$C$9/12),Plan!$D$9+IF(Plan!$E$9=$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IF(N(C238)&lt;=0,0,MIN(C238*(1+Plan!$C$10/12),Plan!$D$10+IF(Plan!$E$10=$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IF(N(D238)&lt;=0,0,MIN(D238*(1+Plan!$C$11/12),Plan!$D$11+IF(Plan!$E$11=$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IF(N(E238)&lt;=0,0,MIN(E238*(1+Plan!$C$12/12),Plan!$D$12+IF(Plan!$E$12=$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IF(N(F238)&lt;=0,0,MIN(F238*(1+Plan!$C$13/12),Plan!$D$13+IF(Plan!$E$13=$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IF(N(G238)&lt;=0,0,MIN(G238*(1+Plan!$C$14/12),Plan!$D$14+IF(Plan!$E$14=$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IF(N(H238)&lt;=0,0,MIN(H238*(1+Plan!$C$15/12),Plan!$D$15+IF(Plan!$E$15=$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IF(N(I238)&lt;=0,0,MIN(I238*(1+Plan!$C$16/12),Plan!$D$16+IF(Plan!$E$16=$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IF(N(J238)&lt;=0,0,MIN(J238*(1+Plan!$C$17/12),Plan!$D$17+IF(Plan!$E$17=$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IF(N(K238)&lt;=0,0,MIN(K238*(1+Plan!$C$18/12),Plan!$D$18+IF(Plan!$E$18=$L239,Plan!$B$5+IF(AND(N(Plan!$B$9)&gt;0,N(B238)&lt;=0),Plan!$D$9,0)+IF(AND(N(Plan!$B$10)&gt;0,N(C238)&lt;=0),Plan!$D$10,0)+IF(AND(N(Plan!$B$11)&gt;0,N(D238)&lt;=0),Plan!$D$11,0)+IF(AND(N(Plan!$B$12)&gt;0,N(E238)&lt;=0),Plan!$D$12,0)+IF(AND(N(Plan!$B$13)&gt;0,N(F238)&lt;=0),Plan!$D$13,0)+IF(AND(N(Plan!$B$14)&gt;0,N(G238)&lt;=0),Plan!$D$14,0)+IF(AND(N(Plan!$B$15)&gt;0,N(H238)&lt;=0),Plan!$D$15,0)+IF(AND(N(Plan!$B$16)&gt;0,N(I238)&lt;=0),Plan!$D$16,0)+IF(AND(N(Plan!$B$17)&gt;0,N(J238)&lt;=0),Plan!$D$17,0)+IF(AND(N(Plan!$B$18)&gt;0,N(K238)&lt;=0),Plan!$D$18,0),0)))</f>
        <v/>
      </c>
    </row>
    <row r="240">
      <c r="A240" s="17" t="n">
        <v>236</v>
      </c>
      <c r="B240" s="18">
        <f>IF(N(B239)&lt;=0,0,MAX(0,B239*(1+Plan!$C$9/12)-(Plan!$D$9+IF(Plan!$E$9=$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C240" s="18">
        <f>IF(N(C239)&lt;=0,0,MAX(0,C239*(1+Plan!$C$10/12)-(Plan!$D$10+IF(Plan!$E$10=$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D240" s="18">
        <f>IF(N(D239)&lt;=0,0,MAX(0,D239*(1+Plan!$C$11/12)-(Plan!$D$11+IF(Plan!$E$11=$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E240" s="18">
        <f>IF(N(E239)&lt;=0,0,MAX(0,E239*(1+Plan!$C$12/12)-(Plan!$D$12+IF(Plan!$E$12=$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F240" s="18">
        <f>IF(N(F239)&lt;=0,0,MAX(0,F239*(1+Plan!$C$13/12)-(Plan!$D$13+IF(Plan!$E$13=$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G240" s="18">
        <f>IF(N(G239)&lt;=0,0,MAX(0,G239*(1+Plan!$C$14/12)-(Plan!$D$14+IF(Plan!$E$14=$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H240" s="18">
        <f>IF(N(H239)&lt;=0,0,MAX(0,H239*(1+Plan!$C$15/12)-(Plan!$D$15+IF(Plan!$E$15=$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I240" s="18">
        <f>IF(N(I239)&lt;=0,0,MAX(0,I239*(1+Plan!$C$16/12)-(Plan!$D$16+IF(Plan!$E$16=$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J240" s="18">
        <f>IF(N(J239)&lt;=0,0,MAX(0,J239*(1+Plan!$C$17/12)-(Plan!$D$17+IF(Plan!$E$17=$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K240" s="18">
        <f>IF(N(K239)&lt;=0,0,MAX(0,K239*(1+Plan!$C$18/12)-(Plan!$D$18+IF(Plan!$E$18=$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c r="L240" s="19">
        <f>MIN(IF(N(B239)&gt;0,Plan!$E$9,999),IF(N(C239)&gt;0,Plan!$E$10,999),IF(N(D239)&gt;0,Plan!$E$11,999),IF(N(E239)&gt;0,Plan!$E$12,999),IF(N(F239)&gt;0,Plan!$E$13,999),IF(N(G239)&gt;0,Plan!$E$14,999),IF(N(H239)&gt;0,Plan!$E$15,999),IF(N(I239)&gt;0,Plan!$E$16,999),IF(N(J239)&gt;0,Plan!$E$17,999),IF(N(K239)&gt;0,Plan!$E$18,999))</f>
        <v/>
      </c>
      <c r="M240" s="18">
        <f>IF(N(B239)&lt;=0,0,MIN(B239*(1+Plan!$C$9/12),Plan!$D$9+IF(Plan!$E$9=$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IF(N(C239)&lt;=0,0,MIN(C239*(1+Plan!$C$10/12),Plan!$D$10+IF(Plan!$E$10=$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IF(N(D239)&lt;=0,0,MIN(D239*(1+Plan!$C$11/12),Plan!$D$11+IF(Plan!$E$11=$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IF(N(E239)&lt;=0,0,MIN(E239*(1+Plan!$C$12/12),Plan!$D$12+IF(Plan!$E$12=$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IF(N(F239)&lt;=0,0,MIN(F239*(1+Plan!$C$13/12),Plan!$D$13+IF(Plan!$E$13=$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IF(N(G239)&lt;=0,0,MIN(G239*(1+Plan!$C$14/12),Plan!$D$14+IF(Plan!$E$14=$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IF(N(H239)&lt;=0,0,MIN(H239*(1+Plan!$C$15/12),Plan!$D$15+IF(Plan!$E$15=$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IF(N(I239)&lt;=0,0,MIN(I239*(1+Plan!$C$16/12),Plan!$D$16+IF(Plan!$E$16=$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IF(N(J239)&lt;=0,0,MIN(J239*(1+Plan!$C$17/12),Plan!$D$17+IF(Plan!$E$17=$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IF(N(K239)&lt;=0,0,MIN(K239*(1+Plan!$C$18/12),Plan!$D$18+IF(Plan!$E$18=$L240,Plan!$B$5+IF(AND(N(Plan!$B$9)&gt;0,N(B239)&lt;=0),Plan!$D$9,0)+IF(AND(N(Plan!$B$10)&gt;0,N(C239)&lt;=0),Plan!$D$10,0)+IF(AND(N(Plan!$B$11)&gt;0,N(D239)&lt;=0),Plan!$D$11,0)+IF(AND(N(Plan!$B$12)&gt;0,N(E239)&lt;=0),Plan!$D$12,0)+IF(AND(N(Plan!$B$13)&gt;0,N(F239)&lt;=0),Plan!$D$13,0)+IF(AND(N(Plan!$B$14)&gt;0,N(G239)&lt;=0),Plan!$D$14,0)+IF(AND(N(Plan!$B$15)&gt;0,N(H239)&lt;=0),Plan!$D$15,0)+IF(AND(N(Plan!$B$16)&gt;0,N(I239)&lt;=0),Plan!$D$16,0)+IF(AND(N(Plan!$B$17)&gt;0,N(J239)&lt;=0),Plan!$D$17,0)+IF(AND(N(Plan!$B$18)&gt;0,N(K239)&lt;=0),Plan!$D$18,0),0)))</f>
        <v/>
      </c>
    </row>
    <row r="241">
      <c r="A241" s="17" t="n">
        <v>237</v>
      </c>
      <c r="B241" s="18">
        <f>IF(N(B240)&lt;=0,0,MAX(0,B240*(1+Plan!$C$9/12)-(Plan!$D$9+IF(Plan!$E$9=$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C241" s="18">
        <f>IF(N(C240)&lt;=0,0,MAX(0,C240*(1+Plan!$C$10/12)-(Plan!$D$10+IF(Plan!$E$10=$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D241" s="18">
        <f>IF(N(D240)&lt;=0,0,MAX(0,D240*(1+Plan!$C$11/12)-(Plan!$D$11+IF(Plan!$E$11=$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E241" s="18">
        <f>IF(N(E240)&lt;=0,0,MAX(0,E240*(1+Plan!$C$12/12)-(Plan!$D$12+IF(Plan!$E$12=$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F241" s="18">
        <f>IF(N(F240)&lt;=0,0,MAX(0,F240*(1+Plan!$C$13/12)-(Plan!$D$13+IF(Plan!$E$13=$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G241" s="18">
        <f>IF(N(G240)&lt;=0,0,MAX(0,G240*(1+Plan!$C$14/12)-(Plan!$D$14+IF(Plan!$E$14=$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H241" s="18">
        <f>IF(N(H240)&lt;=0,0,MAX(0,H240*(1+Plan!$C$15/12)-(Plan!$D$15+IF(Plan!$E$15=$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I241" s="18">
        <f>IF(N(I240)&lt;=0,0,MAX(0,I240*(1+Plan!$C$16/12)-(Plan!$D$16+IF(Plan!$E$16=$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J241" s="18">
        <f>IF(N(J240)&lt;=0,0,MAX(0,J240*(1+Plan!$C$17/12)-(Plan!$D$17+IF(Plan!$E$17=$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K241" s="18">
        <f>IF(N(K240)&lt;=0,0,MAX(0,K240*(1+Plan!$C$18/12)-(Plan!$D$18+IF(Plan!$E$18=$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c r="L241" s="19">
        <f>MIN(IF(N(B240)&gt;0,Plan!$E$9,999),IF(N(C240)&gt;0,Plan!$E$10,999),IF(N(D240)&gt;0,Plan!$E$11,999),IF(N(E240)&gt;0,Plan!$E$12,999),IF(N(F240)&gt;0,Plan!$E$13,999),IF(N(G240)&gt;0,Plan!$E$14,999),IF(N(H240)&gt;0,Plan!$E$15,999),IF(N(I240)&gt;0,Plan!$E$16,999),IF(N(J240)&gt;0,Plan!$E$17,999),IF(N(K240)&gt;0,Plan!$E$18,999))</f>
        <v/>
      </c>
      <c r="M241" s="18">
        <f>IF(N(B240)&lt;=0,0,MIN(B240*(1+Plan!$C$9/12),Plan!$D$9+IF(Plan!$E$9=$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IF(N(C240)&lt;=0,0,MIN(C240*(1+Plan!$C$10/12),Plan!$D$10+IF(Plan!$E$10=$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IF(N(D240)&lt;=0,0,MIN(D240*(1+Plan!$C$11/12),Plan!$D$11+IF(Plan!$E$11=$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IF(N(E240)&lt;=0,0,MIN(E240*(1+Plan!$C$12/12),Plan!$D$12+IF(Plan!$E$12=$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IF(N(F240)&lt;=0,0,MIN(F240*(1+Plan!$C$13/12),Plan!$D$13+IF(Plan!$E$13=$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IF(N(G240)&lt;=0,0,MIN(G240*(1+Plan!$C$14/12),Plan!$D$14+IF(Plan!$E$14=$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IF(N(H240)&lt;=0,0,MIN(H240*(1+Plan!$C$15/12),Plan!$D$15+IF(Plan!$E$15=$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IF(N(I240)&lt;=0,0,MIN(I240*(1+Plan!$C$16/12),Plan!$D$16+IF(Plan!$E$16=$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IF(N(J240)&lt;=0,0,MIN(J240*(1+Plan!$C$17/12),Plan!$D$17+IF(Plan!$E$17=$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IF(N(K240)&lt;=0,0,MIN(K240*(1+Plan!$C$18/12),Plan!$D$18+IF(Plan!$E$18=$L241,Plan!$B$5+IF(AND(N(Plan!$B$9)&gt;0,N(B240)&lt;=0),Plan!$D$9,0)+IF(AND(N(Plan!$B$10)&gt;0,N(C240)&lt;=0),Plan!$D$10,0)+IF(AND(N(Plan!$B$11)&gt;0,N(D240)&lt;=0),Plan!$D$11,0)+IF(AND(N(Plan!$B$12)&gt;0,N(E240)&lt;=0),Plan!$D$12,0)+IF(AND(N(Plan!$B$13)&gt;0,N(F240)&lt;=0),Plan!$D$13,0)+IF(AND(N(Plan!$B$14)&gt;0,N(G240)&lt;=0),Plan!$D$14,0)+IF(AND(N(Plan!$B$15)&gt;0,N(H240)&lt;=0),Plan!$D$15,0)+IF(AND(N(Plan!$B$16)&gt;0,N(I240)&lt;=0),Plan!$D$16,0)+IF(AND(N(Plan!$B$17)&gt;0,N(J240)&lt;=0),Plan!$D$17,0)+IF(AND(N(Plan!$B$18)&gt;0,N(K240)&lt;=0),Plan!$D$18,0),0)))</f>
        <v/>
      </c>
    </row>
    <row r="242">
      <c r="A242" s="17" t="n">
        <v>238</v>
      </c>
      <c r="B242" s="18">
        <f>IF(N(B241)&lt;=0,0,MAX(0,B241*(1+Plan!$C$9/12)-(Plan!$D$9+IF(Plan!$E$9=$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C242" s="18">
        <f>IF(N(C241)&lt;=0,0,MAX(0,C241*(1+Plan!$C$10/12)-(Plan!$D$10+IF(Plan!$E$10=$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D242" s="18">
        <f>IF(N(D241)&lt;=0,0,MAX(0,D241*(1+Plan!$C$11/12)-(Plan!$D$11+IF(Plan!$E$11=$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E242" s="18">
        <f>IF(N(E241)&lt;=0,0,MAX(0,E241*(1+Plan!$C$12/12)-(Plan!$D$12+IF(Plan!$E$12=$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F242" s="18">
        <f>IF(N(F241)&lt;=0,0,MAX(0,F241*(1+Plan!$C$13/12)-(Plan!$D$13+IF(Plan!$E$13=$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G242" s="18">
        <f>IF(N(G241)&lt;=0,0,MAX(0,G241*(1+Plan!$C$14/12)-(Plan!$D$14+IF(Plan!$E$14=$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H242" s="18">
        <f>IF(N(H241)&lt;=0,0,MAX(0,H241*(1+Plan!$C$15/12)-(Plan!$D$15+IF(Plan!$E$15=$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I242" s="18">
        <f>IF(N(I241)&lt;=0,0,MAX(0,I241*(1+Plan!$C$16/12)-(Plan!$D$16+IF(Plan!$E$16=$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J242" s="18">
        <f>IF(N(J241)&lt;=0,0,MAX(0,J241*(1+Plan!$C$17/12)-(Plan!$D$17+IF(Plan!$E$17=$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K242" s="18">
        <f>IF(N(K241)&lt;=0,0,MAX(0,K241*(1+Plan!$C$18/12)-(Plan!$D$18+IF(Plan!$E$18=$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c r="L242" s="19">
        <f>MIN(IF(N(B241)&gt;0,Plan!$E$9,999),IF(N(C241)&gt;0,Plan!$E$10,999),IF(N(D241)&gt;0,Plan!$E$11,999),IF(N(E241)&gt;0,Plan!$E$12,999),IF(N(F241)&gt;0,Plan!$E$13,999),IF(N(G241)&gt;0,Plan!$E$14,999),IF(N(H241)&gt;0,Plan!$E$15,999),IF(N(I241)&gt;0,Plan!$E$16,999),IF(N(J241)&gt;0,Plan!$E$17,999),IF(N(K241)&gt;0,Plan!$E$18,999))</f>
        <v/>
      </c>
      <c r="M242" s="18">
        <f>IF(N(B241)&lt;=0,0,MIN(B241*(1+Plan!$C$9/12),Plan!$D$9+IF(Plan!$E$9=$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IF(N(C241)&lt;=0,0,MIN(C241*(1+Plan!$C$10/12),Plan!$D$10+IF(Plan!$E$10=$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IF(N(D241)&lt;=0,0,MIN(D241*(1+Plan!$C$11/12),Plan!$D$11+IF(Plan!$E$11=$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IF(N(E241)&lt;=0,0,MIN(E241*(1+Plan!$C$12/12),Plan!$D$12+IF(Plan!$E$12=$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IF(N(F241)&lt;=0,0,MIN(F241*(1+Plan!$C$13/12),Plan!$D$13+IF(Plan!$E$13=$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IF(N(G241)&lt;=0,0,MIN(G241*(1+Plan!$C$14/12),Plan!$D$14+IF(Plan!$E$14=$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IF(N(H241)&lt;=0,0,MIN(H241*(1+Plan!$C$15/12),Plan!$D$15+IF(Plan!$E$15=$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IF(N(I241)&lt;=0,0,MIN(I241*(1+Plan!$C$16/12),Plan!$D$16+IF(Plan!$E$16=$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IF(N(J241)&lt;=0,0,MIN(J241*(1+Plan!$C$17/12),Plan!$D$17+IF(Plan!$E$17=$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IF(N(K241)&lt;=0,0,MIN(K241*(1+Plan!$C$18/12),Plan!$D$18+IF(Plan!$E$18=$L242,Plan!$B$5+IF(AND(N(Plan!$B$9)&gt;0,N(B241)&lt;=0),Plan!$D$9,0)+IF(AND(N(Plan!$B$10)&gt;0,N(C241)&lt;=0),Plan!$D$10,0)+IF(AND(N(Plan!$B$11)&gt;0,N(D241)&lt;=0),Plan!$D$11,0)+IF(AND(N(Plan!$B$12)&gt;0,N(E241)&lt;=0),Plan!$D$12,0)+IF(AND(N(Plan!$B$13)&gt;0,N(F241)&lt;=0),Plan!$D$13,0)+IF(AND(N(Plan!$B$14)&gt;0,N(G241)&lt;=0),Plan!$D$14,0)+IF(AND(N(Plan!$B$15)&gt;0,N(H241)&lt;=0),Plan!$D$15,0)+IF(AND(N(Plan!$B$16)&gt;0,N(I241)&lt;=0),Plan!$D$16,0)+IF(AND(N(Plan!$B$17)&gt;0,N(J241)&lt;=0),Plan!$D$17,0)+IF(AND(N(Plan!$B$18)&gt;0,N(K241)&lt;=0),Plan!$D$18,0),0)))</f>
        <v/>
      </c>
    </row>
    <row r="243">
      <c r="A243" s="17" t="n">
        <v>239</v>
      </c>
      <c r="B243" s="18">
        <f>IF(N(B242)&lt;=0,0,MAX(0,B242*(1+Plan!$C$9/12)-(Plan!$D$9+IF(Plan!$E$9=$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C243" s="18">
        <f>IF(N(C242)&lt;=0,0,MAX(0,C242*(1+Plan!$C$10/12)-(Plan!$D$10+IF(Plan!$E$10=$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D243" s="18">
        <f>IF(N(D242)&lt;=0,0,MAX(0,D242*(1+Plan!$C$11/12)-(Plan!$D$11+IF(Plan!$E$11=$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E243" s="18">
        <f>IF(N(E242)&lt;=0,0,MAX(0,E242*(1+Plan!$C$12/12)-(Plan!$D$12+IF(Plan!$E$12=$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F243" s="18">
        <f>IF(N(F242)&lt;=0,0,MAX(0,F242*(1+Plan!$C$13/12)-(Plan!$D$13+IF(Plan!$E$13=$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G243" s="18">
        <f>IF(N(G242)&lt;=0,0,MAX(0,G242*(1+Plan!$C$14/12)-(Plan!$D$14+IF(Plan!$E$14=$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H243" s="18">
        <f>IF(N(H242)&lt;=0,0,MAX(0,H242*(1+Plan!$C$15/12)-(Plan!$D$15+IF(Plan!$E$15=$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I243" s="18">
        <f>IF(N(I242)&lt;=0,0,MAX(0,I242*(1+Plan!$C$16/12)-(Plan!$D$16+IF(Plan!$E$16=$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J243" s="18">
        <f>IF(N(J242)&lt;=0,0,MAX(0,J242*(1+Plan!$C$17/12)-(Plan!$D$17+IF(Plan!$E$17=$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K243" s="18">
        <f>IF(N(K242)&lt;=0,0,MAX(0,K242*(1+Plan!$C$18/12)-(Plan!$D$18+IF(Plan!$E$18=$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c r="L243" s="19">
        <f>MIN(IF(N(B242)&gt;0,Plan!$E$9,999),IF(N(C242)&gt;0,Plan!$E$10,999),IF(N(D242)&gt;0,Plan!$E$11,999),IF(N(E242)&gt;0,Plan!$E$12,999),IF(N(F242)&gt;0,Plan!$E$13,999),IF(N(G242)&gt;0,Plan!$E$14,999),IF(N(H242)&gt;0,Plan!$E$15,999),IF(N(I242)&gt;0,Plan!$E$16,999),IF(N(J242)&gt;0,Plan!$E$17,999),IF(N(K242)&gt;0,Plan!$E$18,999))</f>
        <v/>
      </c>
      <c r="M243" s="18">
        <f>IF(N(B242)&lt;=0,0,MIN(B242*(1+Plan!$C$9/12),Plan!$D$9+IF(Plan!$E$9=$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IF(N(C242)&lt;=0,0,MIN(C242*(1+Plan!$C$10/12),Plan!$D$10+IF(Plan!$E$10=$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IF(N(D242)&lt;=0,0,MIN(D242*(1+Plan!$C$11/12),Plan!$D$11+IF(Plan!$E$11=$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IF(N(E242)&lt;=0,0,MIN(E242*(1+Plan!$C$12/12),Plan!$D$12+IF(Plan!$E$12=$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IF(N(F242)&lt;=0,0,MIN(F242*(1+Plan!$C$13/12),Plan!$D$13+IF(Plan!$E$13=$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IF(N(G242)&lt;=0,0,MIN(G242*(1+Plan!$C$14/12),Plan!$D$14+IF(Plan!$E$14=$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IF(N(H242)&lt;=0,0,MIN(H242*(1+Plan!$C$15/12),Plan!$D$15+IF(Plan!$E$15=$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IF(N(I242)&lt;=0,0,MIN(I242*(1+Plan!$C$16/12),Plan!$D$16+IF(Plan!$E$16=$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IF(N(J242)&lt;=0,0,MIN(J242*(1+Plan!$C$17/12),Plan!$D$17+IF(Plan!$E$17=$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IF(N(K242)&lt;=0,0,MIN(K242*(1+Plan!$C$18/12),Plan!$D$18+IF(Plan!$E$18=$L243,Plan!$B$5+IF(AND(N(Plan!$B$9)&gt;0,N(B242)&lt;=0),Plan!$D$9,0)+IF(AND(N(Plan!$B$10)&gt;0,N(C242)&lt;=0),Plan!$D$10,0)+IF(AND(N(Plan!$B$11)&gt;0,N(D242)&lt;=0),Plan!$D$11,0)+IF(AND(N(Plan!$B$12)&gt;0,N(E242)&lt;=0),Plan!$D$12,0)+IF(AND(N(Plan!$B$13)&gt;0,N(F242)&lt;=0),Plan!$D$13,0)+IF(AND(N(Plan!$B$14)&gt;0,N(G242)&lt;=0),Plan!$D$14,0)+IF(AND(N(Plan!$B$15)&gt;0,N(H242)&lt;=0),Plan!$D$15,0)+IF(AND(N(Plan!$B$16)&gt;0,N(I242)&lt;=0),Plan!$D$16,0)+IF(AND(N(Plan!$B$17)&gt;0,N(J242)&lt;=0),Plan!$D$17,0)+IF(AND(N(Plan!$B$18)&gt;0,N(K242)&lt;=0),Plan!$D$18,0),0)))</f>
        <v/>
      </c>
    </row>
    <row r="244">
      <c r="A244" s="17" t="n">
        <v>240</v>
      </c>
      <c r="B244" s="18">
        <f>IF(N(B243)&lt;=0,0,MAX(0,B243*(1+Plan!$C$9/12)-(Plan!$D$9+IF(Plan!$E$9=$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C244" s="18">
        <f>IF(N(C243)&lt;=0,0,MAX(0,C243*(1+Plan!$C$10/12)-(Plan!$D$10+IF(Plan!$E$10=$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D244" s="18">
        <f>IF(N(D243)&lt;=0,0,MAX(0,D243*(1+Plan!$C$11/12)-(Plan!$D$11+IF(Plan!$E$11=$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E244" s="18">
        <f>IF(N(E243)&lt;=0,0,MAX(0,E243*(1+Plan!$C$12/12)-(Plan!$D$12+IF(Plan!$E$12=$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F244" s="18">
        <f>IF(N(F243)&lt;=0,0,MAX(0,F243*(1+Plan!$C$13/12)-(Plan!$D$13+IF(Plan!$E$13=$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G244" s="18">
        <f>IF(N(G243)&lt;=0,0,MAX(0,G243*(1+Plan!$C$14/12)-(Plan!$D$14+IF(Plan!$E$14=$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H244" s="18">
        <f>IF(N(H243)&lt;=0,0,MAX(0,H243*(1+Plan!$C$15/12)-(Plan!$D$15+IF(Plan!$E$15=$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I244" s="18">
        <f>IF(N(I243)&lt;=0,0,MAX(0,I243*(1+Plan!$C$16/12)-(Plan!$D$16+IF(Plan!$E$16=$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J244" s="18">
        <f>IF(N(J243)&lt;=0,0,MAX(0,J243*(1+Plan!$C$17/12)-(Plan!$D$17+IF(Plan!$E$17=$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K244" s="18">
        <f>IF(N(K243)&lt;=0,0,MAX(0,K243*(1+Plan!$C$18/12)-(Plan!$D$18+IF(Plan!$E$18=$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c r="L244" s="19">
        <f>MIN(IF(N(B243)&gt;0,Plan!$E$9,999),IF(N(C243)&gt;0,Plan!$E$10,999),IF(N(D243)&gt;0,Plan!$E$11,999),IF(N(E243)&gt;0,Plan!$E$12,999),IF(N(F243)&gt;0,Plan!$E$13,999),IF(N(G243)&gt;0,Plan!$E$14,999),IF(N(H243)&gt;0,Plan!$E$15,999),IF(N(I243)&gt;0,Plan!$E$16,999),IF(N(J243)&gt;0,Plan!$E$17,999),IF(N(K243)&gt;0,Plan!$E$18,999))</f>
        <v/>
      </c>
      <c r="M244" s="18">
        <f>IF(N(B243)&lt;=0,0,MIN(B243*(1+Plan!$C$9/12),Plan!$D$9+IF(Plan!$E$9=$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IF(N(C243)&lt;=0,0,MIN(C243*(1+Plan!$C$10/12),Plan!$D$10+IF(Plan!$E$10=$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IF(N(D243)&lt;=0,0,MIN(D243*(1+Plan!$C$11/12),Plan!$D$11+IF(Plan!$E$11=$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IF(N(E243)&lt;=0,0,MIN(E243*(1+Plan!$C$12/12),Plan!$D$12+IF(Plan!$E$12=$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IF(N(F243)&lt;=0,0,MIN(F243*(1+Plan!$C$13/12),Plan!$D$13+IF(Plan!$E$13=$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IF(N(G243)&lt;=0,0,MIN(G243*(1+Plan!$C$14/12),Plan!$D$14+IF(Plan!$E$14=$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IF(N(H243)&lt;=0,0,MIN(H243*(1+Plan!$C$15/12),Plan!$D$15+IF(Plan!$E$15=$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IF(N(I243)&lt;=0,0,MIN(I243*(1+Plan!$C$16/12),Plan!$D$16+IF(Plan!$E$16=$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IF(N(J243)&lt;=0,0,MIN(J243*(1+Plan!$C$17/12),Plan!$D$17+IF(Plan!$E$17=$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IF(N(K243)&lt;=0,0,MIN(K243*(1+Plan!$C$18/12),Plan!$D$18+IF(Plan!$E$18=$L244,Plan!$B$5+IF(AND(N(Plan!$B$9)&gt;0,N(B243)&lt;=0),Plan!$D$9,0)+IF(AND(N(Plan!$B$10)&gt;0,N(C243)&lt;=0),Plan!$D$10,0)+IF(AND(N(Plan!$B$11)&gt;0,N(D243)&lt;=0),Plan!$D$11,0)+IF(AND(N(Plan!$B$12)&gt;0,N(E243)&lt;=0),Plan!$D$12,0)+IF(AND(N(Plan!$B$13)&gt;0,N(F243)&lt;=0),Plan!$D$13,0)+IF(AND(N(Plan!$B$14)&gt;0,N(G243)&lt;=0),Plan!$D$14,0)+IF(AND(N(Plan!$B$15)&gt;0,N(H243)&lt;=0),Plan!$D$15,0)+IF(AND(N(Plan!$B$16)&gt;0,N(I243)&lt;=0),Plan!$D$16,0)+IF(AND(N(Plan!$B$17)&gt;0,N(J243)&lt;=0),Plan!$D$17,0)+IF(AND(N(Plan!$B$18)&gt;0,N(K243)&lt;=0),Plan!$D$18,0)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2026-10-20T21:02:48Z</dcterms:created>
  <dcterms:modified xmlns:dcterms="http://purl.org/dc/terms/" xmlns:xsi="http://www.w3.org/2001/XMLSchema-instance" xsi:type="dcterms:W3CDTF">2026-10-20T21:02:48Z</dcterms:modified>
</cp:coreProperties>
</file>