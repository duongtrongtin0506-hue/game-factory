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Spe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8">
    <font>
      <name val="Calibri"/>
      <family val="2"/>
      <color theme="1"/>
      <sz val="11"/>
      <scheme val="minor"/>
    </font>
    <font>
      <color rgb="001A1A1A"/>
      <sz val="20"/>
    </font>
    <font>
      <color rgb="008B7E6F"/>
      <sz val="10"/>
    </font>
    <font>
      <b val="1"/>
      <color rgb="008B7E6F"/>
      <sz val="9"/>
    </font>
    <font>
      <color rgb="008B7E6F"/>
      <sz val="9"/>
    </font>
    <font>
      <b val="1"/>
      <color rgb="00FFFFFF"/>
      <sz val="10"/>
    </font>
    <font>
      <color rgb="001A1A1A"/>
      <sz val="10"/>
    </font>
    <font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E8833A"/>
      </patternFill>
    </fill>
    <fill>
      <patternFill patternType="solid">
        <fgColor rgb="00FFF4EA"/>
      </patternFill>
    </fill>
  </fills>
  <borders count="2">
    <border>
      <left/>
      <right/>
      <top/>
      <bottom/>
      <diagonal/>
    </border>
    <border>
      <bottom style="thin">
        <color rgb="00E8E0D5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165" fontId="0" fillId="3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1" pivotButton="0" quotePrefix="0" xfId="0"/>
    <xf numFmtId="165" fontId="6" fillId="3" borderId="1" pivotButton="0" quotePrefix="0" xfId="0"/>
    <xf numFmtId="165" fontId="7" fillId="0" borderId="1" pivotButton="0" quotePrefix="0" xfId="0"/>
    <xf numFmtId="9" fontId="7" fillId="0" borderId="1" pivotButton="0" quotePrefix="0" xfId="0"/>
    <xf numFmtId="0" fontId="6" fillId="0" borderId="1" pivotButton="0" quotePrefix="0" xfId="0"/>
    <xf numFmtId="0" fontId="5" fillId="2" borderId="0" pivotButton="0" quotePrefix="0" xfId="0"/>
    <xf numFmtId="9" fontId="6" fillId="0" borderId="1" pivotButton="0" quotePrefix="0" xfId="0"/>
    <xf numFmtId="164" fontId="6" fillId="3" borderId="1" pivotButton="0" quotePrefix="0" xfId="0"/>
  </cellXfs>
  <cellStyles count="1">
    <cellStyle name="Normal" xfId="0" builtinId="0" hidden="0"/>
  </cellStyles>
  <dxfs count="1">
    <dxf>
      <font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Planned split</a:t>
            </a:r>
          </a:p>
        </rich>
      </tx>
    </title>
    <plotArea>
      <pieChart>
        <varyColors val="1"/>
        <ser>
          <idx val="0"/>
          <order val="0"/>
          <tx>
            <strRef>
              <f>'Budget'!B24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'Budget'!$A$25:$A$27</f>
            </numRef>
          </cat>
          <val>
            <numRef>
              <f>'Budget'!$B$25:$B$27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5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E8833A"/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1" ht="30" customHeight="1">
      <c r="A1" s="1" t="inlineStr">
        <is>
          <t>Monthly Budget (50/30/20)</t>
        </is>
      </c>
    </row>
    <row r="2">
      <c r="A2" s="2" t="inlineStr">
        <is>
          <t>Free template · templates.snoutsmith.com</t>
        </is>
      </c>
    </row>
    <row r="4">
      <c r="B4" s="3" t="inlineStr">
        <is>
          <t>WHAT IT DOES</t>
        </is>
      </c>
    </row>
    <row r="5" ht="34" customHeight="1">
      <c r="B5" s="4" t="inlineStr">
        <is>
          <t>Plan a month of income and spending, see actual vs planned per category and how close you are to the 50/30/20 split.</t>
        </is>
      </c>
    </row>
    <row r="7">
      <c r="B7" s="3" t="inlineStr">
        <is>
          <t>HOW TO USE</t>
        </is>
      </c>
    </row>
    <row r="8">
      <c r="B8" s="4" t="inlineStr">
        <is>
          <t>1. Type your monthly take-home income on the Budget sheet.</t>
        </is>
      </c>
    </row>
    <row r="9">
      <c r="B9" s="4" t="inlineStr">
        <is>
          <t>2. Adjust the planned amount for each category (or keep the examples).</t>
        </is>
      </c>
    </row>
    <row r="10">
      <c r="B10" s="4" t="inlineStr">
        <is>
          <t>3. Log spending on the Spending sheet: date, category, amount.</t>
        </is>
      </c>
    </row>
    <row r="11">
      <c r="B11" s="4" t="inlineStr">
        <is>
          <t>4. Budget shows actual, left to spend and your needs/wants/savings split.</t>
        </is>
      </c>
    </row>
    <row r="13">
      <c r="B13" s="3" t="inlineStr">
        <is>
          <t>GOOD TO KNOW</t>
        </is>
      </c>
    </row>
    <row r="14">
      <c r="B14" s="4" t="inlineStr">
        <is>
          <t>• Categories are tagged Need, Want or Savings – change the tag in column B.</t>
        </is>
      </c>
    </row>
    <row r="15">
      <c r="B15" s="4" t="inlineStr">
        <is>
          <t>• Delete the sample rows on Spending (rows 5–44) to start fresh.</t>
        </is>
      </c>
    </row>
    <row r="17">
      <c r="B17" s="5" t="inlineStr">
        <is>
          <t>Tinted cells are yours to type in. Grey numbers are formulas – leave them. Works in Google Sheets (File → Import or open the .xlsx) and Excel, free plans, no add-ons or scripts.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E0D5"/>
    <outlinePr summaryBelow="1" summaryRight="1"/>
    <pageSetUpPr/>
  </sheetPr>
  <dimension ref="A1:F2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2" customWidth="1" min="6" max="6"/>
  </cols>
  <sheetData>
    <row r="1" ht="30" customHeight="1">
      <c r="A1" s="1" t="inlineStr">
        <is>
          <t>Budget</t>
        </is>
      </c>
    </row>
    <row r="2">
      <c r="A2" s="2" t="inlineStr">
        <is>
          <t>October 2026 – change the month name freely</t>
        </is>
      </c>
    </row>
    <row r="4">
      <c r="A4" s="3" t="inlineStr">
        <is>
          <t>Monthly income</t>
        </is>
      </c>
      <c r="B4" s="6" t="n">
        <v>4200</v>
      </c>
    </row>
    <row r="6" ht="22" customHeight="1">
      <c r="A6" s="7" t="inlineStr">
        <is>
          <t>Category</t>
        </is>
      </c>
      <c r="B6" s="7" t="inlineStr">
        <is>
          <t>Type</t>
        </is>
      </c>
      <c r="C6" s="7" t="inlineStr">
        <is>
          <t>Planned</t>
        </is>
      </c>
      <c r="D6" s="7" t="inlineStr">
        <is>
          <t>Actual</t>
        </is>
      </c>
      <c r="E6" s="7" t="inlineStr">
        <is>
          <t>Left</t>
        </is>
      </c>
      <c r="F6" s="7" t="inlineStr">
        <is>
          <t>% used</t>
        </is>
      </c>
    </row>
    <row r="7">
      <c r="A7" s="8" t="inlineStr">
        <is>
          <t>Rent / mortgage</t>
        </is>
      </c>
      <c r="B7" s="8" t="inlineStr">
        <is>
          <t>Need</t>
        </is>
      </c>
      <c r="C7" s="9" t="n">
        <v>1400</v>
      </c>
      <c r="D7" s="10">
        <f>SUMIFS(Spending!$C$5:$C$500,Spending!$B$5:$B$500,A7)</f>
        <v/>
      </c>
      <c r="E7" s="10">
        <f>C7-D7</f>
        <v/>
      </c>
      <c r="F7" s="11">
        <f>IF(C7=0,0,D7/C7)</f>
        <v/>
      </c>
    </row>
    <row r="8">
      <c r="A8" s="8" t="inlineStr">
        <is>
          <t>Utilities</t>
        </is>
      </c>
      <c r="B8" s="8" t="inlineStr">
        <is>
          <t>Need</t>
        </is>
      </c>
      <c r="C8" s="9" t="n">
        <v>180</v>
      </c>
      <c r="D8" s="10">
        <f>SUMIFS(Spending!$C$5:$C$500,Spending!$B$5:$B$500,A8)</f>
        <v/>
      </c>
      <c r="E8" s="10">
        <f>C8-D8</f>
        <v/>
      </c>
      <c r="F8" s="11">
        <f>IF(C8=0,0,D8/C8)</f>
        <v/>
      </c>
    </row>
    <row r="9">
      <c r="A9" s="8" t="inlineStr">
        <is>
          <t>Groceries</t>
        </is>
      </c>
      <c r="B9" s="8" t="inlineStr">
        <is>
          <t>Need</t>
        </is>
      </c>
      <c r="C9" s="9" t="n">
        <v>450</v>
      </c>
      <c r="D9" s="10">
        <f>SUMIFS(Spending!$C$5:$C$500,Spending!$B$5:$B$500,A9)</f>
        <v/>
      </c>
      <c r="E9" s="10">
        <f>C9-D9</f>
        <v/>
      </c>
      <c r="F9" s="11">
        <f>IF(C9=0,0,D9/C9)</f>
        <v/>
      </c>
    </row>
    <row r="10">
      <c r="A10" s="8" t="inlineStr">
        <is>
          <t>Transport</t>
        </is>
      </c>
      <c r="B10" s="8" t="inlineStr">
        <is>
          <t>Need</t>
        </is>
      </c>
      <c r="C10" s="9" t="n">
        <v>220</v>
      </c>
      <c r="D10" s="10">
        <f>SUMIFS(Spending!$C$5:$C$500,Spending!$B$5:$B$500,A10)</f>
        <v/>
      </c>
      <c r="E10" s="10">
        <f>C10-D10</f>
        <v/>
      </c>
      <c r="F10" s="11">
        <f>IF(C10=0,0,D10/C10)</f>
        <v/>
      </c>
    </row>
    <row r="11">
      <c r="A11" s="8" t="inlineStr">
        <is>
          <t>Insurance</t>
        </is>
      </c>
      <c r="B11" s="8" t="inlineStr">
        <is>
          <t>Need</t>
        </is>
      </c>
      <c r="C11" s="9" t="n">
        <v>160</v>
      </c>
      <c r="D11" s="10">
        <f>SUMIFS(Spending!$C$5:$C$500,Spending!$B$5:$B$500,A11)</f>
        <v/>
      </c>
      <c r="E11" s="10">
        <f>C11-D11</f>
        <v/>
      </c>
      <c r="F11" s="11">
        <f>IF(C11=0,0,D11/C11)</f>
        <v/>
      </c>
    </row>
    <row r="12">
      <c r="A12" s="8" t="inlineStr">
        <is>
          <t>Phone &amp; internet</t>
        </is>
      </c>
      <c r="B12" s="8" t="inlineStr">
        <is>
          <t>Need</t>
        </is>
      </c>
      <c r="C12" s="9" t="n">
        <v>90</v>
      </c>
      <c r="D12" s="10">
        <f>SUMIFS(Spending!$C$5:$C$500,Spending!$B$5:$B$500,A12)</f>
        <v/>
      </c>
      <c r="E12" s="10">
        <f>C12-D12</f>
        <v/>
      </c>
      <c r="F12" s="11">
        <f>IF(C12=0,0,D12/C12)</f>
        <v/>
      </c>
    </row>
    <row r="13">
      <c r="A13" s="8" t="inlineStr">
        <is>
          <t>Dining out</t>
        </is>
      </c>
      <c r="B13" s="8" t="inlineStr">
        <is>
          <t>Want</t>
        </is>
      </c>
      <c r="C13" s="9" t="n">
        <v>200</v>
      </c>
      <c r="D13" s="10">
        <f>SUMIFS(Spending!$C$5:$C$500,Spending!$B$5:$B$500,A13)</f>
        <v/>
      </c>
      <c r="E13" s="10">
        <f>C13-D13</f>
        <v/>
      </c>
      <c r="F13" s="11">
        <f>IF(C13=0,0,D13/C13)</f>
        <v/>
      </c>
    </row>
    <row r="14">
      <c r="A14" s="8" t="inlineStr">
        <is>
          <t>Entertainment</t>
        </is>
      </c>
      <c r="B14" s="8" t="inlineStr">
        <is>
          <t>Want</t>
        </is>
      </c>
      <c r="C14" s="9" t="n">
        <v>120</v>
      </c>
      <c r="D14" s="10">
        <f>SUMIFS(Spending!$C$5:$C$500,Spending!$B$5:$B$500,A14)</f>
        <v/>
      </c>
      <c r="E14" s="10">
        <f>C14-D14</f>
        <v/>
      </c>
      <c r="F14" s="11">
        <f>IF(C14=0,0,D14/C14)</f>
        <v/>
      </c>
    </row>
    <row r="15">
      <c r="A15" s="8" t="inlineStr">
        <is>
          <t>Shopping</t>
        </is>
      </c>
      <c r="B15" s="8" t="inlineStr">
        <is>
          <t>Want</t>
        </is>
      </c>
      <c r="C15" s="9" t="n">
        <v>150</v>
      </c>
      <c r="D15" s="10">
        <f>SUMIFS(Spending!$C$5:$C$500,Spending!$B$5:$B$500,A15)</f>
        <v/>
      </c>
      <c r="E15" s="10">
        <f>C15-D15</f>
        <v/>
      </c>
      <c r="F15" s="11">
        <f>IF(C15=0,0,D15/C15)</f>
        <v/>
      </c>
    </row>
    <row r="16">
      <c r="A16" s="8" t="inlineStr">
        <is>
          <t>Subscriptions</t>
        </is>
      </c>
      <c r="B16" s="8" t="inlineStr">
        <is>
          <t>Want</t>
        </is>
      </c>
      <c r="C16" s="9" t="n">
        <v>45</v>
      </c>
      <c r="D16" s="10">
        <f>SUMIFS(Spending!$C$5:$C$500,Spending!$B$5:$B$500,A16)</f>
        <v/>
      </c>
      <c r="E16" s="10">
        <f>C16-D16</f>
        <v/>
      </c>
      <c r="F16" s="11">
        <f>IF(C16=0,0,D16/C16)</f>
        <v/>
      </c>
    </row>
    <row r="17">
      <c r="A17" s="8" t="inlineStr">
        <is>
          <t>Travel fund</t>
        </is>
      </c>
      <c r="B17" s="8" t="inlineStr">
        <is>
          <t>Want</t>
        </is>
      </c>
      <c r="C17" s="9" t="n">
        <v>150</v>
      </c>
      <c r="D17" s="10">
        <f>SUMIFS(Spending!$C$5:$C$500,Spending!$B$5:$B$500,A17)</f>
        <v/>
      </c>
      <c r="E17" s="10">
        <f>C17-D17</f>
        <v/>
      </c>
      <c r="F17" s="11">
        <f>IF(C17=0,0,D17/C17)</f>
        <v/>
      </c>
    </row>
    <row r="18">
      <c r="A18" s="8" t="inlineStr">
        <is>
          <t>Emergency fund</t>
        </is>
      </c>
      <c r="B18" s="8" t="inlineStr">
        <is>
          <t>Savings</t>
        </is>
      </c>
      <c r="C18" s="9" t="n">
        <v>400</v>
      </c>
      <c r="D18" s="10">
        <f>SUMIFS(Spending!$C$5:$C$500,Spending!$B$5:$B$500,A18)</f>
        <v/>
      </c>
      <c r="E18" s="10">
        <f>C18-D18</f>
        <v/>
      </c>
      <c r="F18" s="11">
        <f>IF(C18=0,0,D18/C18)</f>
        <v/>
      </c>
    </row>
    <row r="19">
      <c r="A19" s="8" t="inlineStr">
        <is>
          <t>Retirement</t>
        </is>
      </c>
      <c r="B19" s="8" t="inlineStr">
        <is>
          <t>Savings</t>
        </is>
      </c>
      <c r="C19" s="9" t="n">
        <v>350</v>
      </c>
      <c r="D19" s="10">
        <f>SUMIFS(Spending!$C$5:$C$500,Spending!$B$5:$B$500,A19)</f>
        <v/>
      </c>
      <c r="E19" s="10">
        <f>C19-D19</f>
        <v/>
      </c>
      <c r="F19" s="11">
        <f>IF(C19=0,0,D19/C19)</f>
        <v/>
      </c>
    </row>
    <row r="20">
      <c r="A20" s="8" t="inlineStr">
        <is>
          <t>Extra debt payment</t>
        </is>
      </c>
      <c r="B20" s="8" t="inlineStr">
        <is>
          <t>Savings</t>
        </is>
      </c>
      <c r="C20" s="9" t="n">
        <v>150</v>
      </c>
      <c r="D20" s="10">
        <f>SUMIFS(Spending!$C$5:$C$500,Spending!$B$5:$B$500,A20)</f>
        <v/>
      </c>
      <c r="E20" s="10">
        <f>C20-D20</f>
        <v/>
      </c>
      <c r="F20" s="11">
        <f>IF(C20=0,0,D20/C20)</f>
        <v/>
      </c>
    </row>
    <row r="21">
      <c r="A21" s="12" t="inlineStr">
        <is>
          <t>Total</t>
        </is>
      </c>
      <c r="C21" s="10">
        <f>SUM(C7:C20)</f>
        <v/>
      </c>
      <c r="D21" s="10">
        <f>SUM(D7:D20)</f>
        <v/>
      </c>
      <c r="E21" s="10">
        <f>SUM(E7:E20)</f>
        <v/>
      </c>
    </row>
    <row r="23">
      <c r="A23" s="3" t="inlineStr">
        <is>
          <t>SPLIT (target 50 / 30 / 20)</t>
        </is>
      </c>
    </row>
    <row r="24">
      <c r="A24" s="13" t="inlineStr">
        <is>
          <t>Type</t>
        </is>
      </c>
      <c r="B24" s="13" t="inlineStr">
        <is>
          <t>Planned</t>
        </is>
      </c>
      <c r="C24" s="13" t="inlineStr">
        <is>
          <t>% of income</t>
        </is>
      </c>
      <c r="D24" s="13" t="inlineStr">
        <is>
          <t>Target</t>
        </is>
      </c>
    </row>
    <row r="25">
      <c r="A25" s="12" t="inlineStr">
        <is>
          <t>Need</t>
        </is>
      </c>
      <c r="B25" s="10">
        <f>SUMIFS($C$7:$C$20,$B$7:$B$20,A25)</f>
        <v/>
      </c>
      <c r="C25" s="11">
        <f>IF($B$4=0,0,B25/$B$4)</f>
        <v/>
      </c>
      <c r="D25" s="14" t="n">
        <v>0.5</v>
      </c>
    </row>
    <row r="26">
      <c r="A26" s="12" t="inlineStr">
        <is>
          <t>Want</t>
        </is>
      </c>
      <c r="B26" s="10">
        <f>SUMIFS($C$7:$C$20,$B$7:$B$20,A26)</f>
        <v/>
      </c>
      <c r="C26" s="11">
        <f>IF($B$4=0,0,B26/$B$4)</f>
        <v/>
      </c>
      <c r="D26" s="14" t="n">
        <v>0.3</v>
      </c>
    </row>
    <row r="27">
      <c r="A27" s="12" t="inlineStr">
        <is>
          <t>Savings</t>
        </is>
      </c>
      <c r="B27" s="10">
        <f>SUMIFS($C$7:$C$20,$B$7:$B$20,A27)</f>
        <v/>
      </c>
      <c r="C27" s="11">
        <f>IF($B$4=0,0,B27/$B$4)</f>
        <v/>
      </c>
      <c r="D27" s="14" t="n">
        <v>0.2</v>
      </c>
    </row>
    <row r="28">
      <c r="A28" s="12" t="inlineStr">
        <is>
          <t>Unplanned income</t>
        </is>
      </c>
      <c r="B28" s="10">
        <f>B4-C21</f>
        <v/>
      </c>
    </row>
  </sheetData>
  <conditionalFormatting sqref="E7:E20">
    <cfRule type="cellIs" priority="1" operator="lessThan" dxfId="0">
      <formula>0</formula>
    </cfRule>
  </conditionalFormatting>
  <conditionalFormatting sqref="F7:F20">
    <cfRule type="dataBar" priority="2">
      <dataBar>
        <cfvo type="num" val="0"/>
        <cfvo type="num" val="1"/>
        <color rgb="00E8833A"/>
      </dataBar>
    </cfRule>
  </conditionalFormatting>
  <dataValidations count="1">
    <dataValidation sqref="B7:B20" showDropDown="0" showInputMessage="0" showErrorMessage="0" allowBlank="0" type="list">
      <formula1>"Need,Want,Savings"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E8E0D5"/>
    <outlinePr summaryBelow="1" summaryRight="1"/>
    <pageSetUpPr/>
  </sheetPr>
  <dimension ref="A1:D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6" customWidth="1" min="4" max="4"/>
  </cols>
  <sheetData>
    <row r="1" ht="30" customHeight="1">
      <c r="A1" s="1" t="inlineStr">
        <is>
          <t>Spending log</t>
        </is>
      </c>
    </row>
    <row r="2">
      <c r="A2" s="2" t="inlineStr">
        <is>
          <t>One line per purchase</t>
        </is>
      </c>
    </row>
    <row r="4" ht="22" customHeight="1">
      <c r="A4" s="7" t="inlineStr">
        <is>
          <t>Date</t>
        </is>
      </c>
      <c r="B4" s="7" t="inlineStr">
        <is>
          <t>Category</t>
        </is>
      </c>
      <c r="C4" s="7" t="inlineStr">
        <is>
          <t>Amount</t>
        </is>
      </c>
      <c r="D4" s="7" t="inlineStr">
        <is>
          <t>Note</t>
        </is>
      </c>
    </row>
    <row r="5">
      <c r="A5" s="15" t="n">
        <v>46296</v>
      </c>
      <c r="B5" s="8" t="inlineStr">
        <is>
          <t>Phone &amp; internet</t>
        </is>
      </c>
      <c r="C5" s="9" t="n">
        <v>18</v>
      </c>
      <c r="D5" s="8" t="inlineStr">
        <is>
          <t>sample</t>
        </is>
      </c>
    </row>
    <row r="6">
      <c r="A6" s="15" t="n">
        <v>46297</v>
      </c>
      <c r="B6" s="8" t="inlineStr">
        <is>
          <t>Dining out</t>
        </is>
      </c>
      <c r="C6" s="9" t="n">
        <v>22.22</v>
      </c>
      <c r="D6" s="8" t="inlineStr">
        <is>
          <t>sample</t>
        </is>
      </c>
    </row>
    <row r="7">
      <c r="A7" s="15" t="n">
        <v>46298</v>
      </c>
      <c r="B7" s="8" t="inlineStr">
        <is>
          <t>Rent / mortgage</t>
        </is>
      </c>
      <c r="C7" s="9" t="n">
        <v>350</v>
      </c>
      <c r="D7" s="8" t="inlineStr">
        <is>
          <t>sample</t>
        </is>
      </c>
    </row>
    <row r="8">
      <c r="A8" s="15" t="n">
        <v>46299</v>
      </c>
      <c r="B8" s="8" t="inlineStr">
        <is>
          <t>Shopping</t>
        </is>
      </c>
      <c r="C8" s="9" t="n">
        <v>37.5</v>
      </c>
      <c r="D8" s="8" t="inlineStr">
        <is>
          <t>sample</t>
        </is>
      </c>
    </row>
    <row r="9">
      <c r="A9" s="15" t="n">
        <v>46300</v>
      </c>
      <c r="B9" s="8" t="inlineStr">
        <is>
          <t>Phone &amp; internet</t>
        </is>
      </c>
      <c r="C9" s="9" t="n">
        <v>11.25</v>
      </c>
      <c r="D9" s="8" t="inlineStr">
        <is>
          <t>sample</t>
        </is>
      </c>
    </row>
    <row r="10">
      <c r="A10" s="15" t="n">
        <v>46301</v>
      </c>
      <c r="B10" s="8" t="inlineStr">
        <is>
          <t>Rent / mortgage</t>
        </is>
      </c>
      <c r="C10" s="9" t="n">
        <v>175</v>
      </c>
      <c r="D10" s="8" t="inlineStr">
        <is>
          <t>sample</t>
        </is>
      </c>
    </row>
    <row r="11">
      <c r="A11" s="15" t="n">
        <v>46302</v>
      </c>
      <c r="B11" s="8" t="inlineStr">
        <is>
          <t>Transport</t>
        </is>
      </c>
      <c r="C11" s="9" t="n">
        <v>55</v>
      </c>
      <c r="D11" s="8" t="inlineStr">
        <is>
          <t>sample</t>
        </is>
      </c>
    </row>
    <row r="12">
      <c r="A12" s="15" t="n">
        <v>46303</v>
      </c>
      <c r="B12" s="8" t="inlineStr">
        <is>
          <t>Utilities</t>
        </is>
      </c>
      <c r="C12" s="9" t="n">
        <v>25.71</v>
      </c>
      <c r="D12" s="8" t="inlineStr">
        <is>
          <t>sample</t>
        </is>
      </c>
    </row>
    <row r="13">
      <c r="A13" s="15" t="n">
        <v>46304</v>
      </c>
      <c r="B13" s="8" t="inlineStr">
        <is>
          <t>Dining out</t>
        </is>
      </c>
      <c r="C13" s="9" t="n">
        <v>50</v>
      </c>
      <c r="D13" s="8" t="inlineStr">
        <is>
          <t>sample</t>
        </is>
      </c>
    </row>
    <row r="14">
      <c r="A14" s="15" t="n">
        <v>46305</v>
      </c>
      <c r="B14" s="8" t="inlineStr">
        <is>
          <t>Transport</t>
        </is>
      </c>
      <c r="C14" s="9" t="n">
        <v>55</v>
      </c>
      <c r="D14" s="8" t="inlineStr">
        <is>
          <t>sample</t>
        </is>
      </c>
    </row>
    <row r="15">
      <c r="A15" s="15" t="n">
        <v>46306</v>
      </c>
      <c r="B15" s="8" t="inlineStr">
        <is>
          <t>Shopping</t>
        </is>
      </c>
      <c r="C15" s="9" t="n">
        <v>21.43</v>
      </c>
      <c r="D15" s="8" t="inlineStr">
        <is>
          <t>sample</t>
        </is>
      </c>
    </row>
    <row r="16">
      <c r="A16" s="15" t="n">
        <v>46307</v>
      </c>
      <c r="B16" s="8" t="inlineStr">
        <is>
          <t>Rent / mortgage</t>
        </is>
      </c>
      <c r="C16" s="9" t="n">
        <v>175</v>
      </c>
      <c r="D16" s="8" t="inlineStr">
        <is>
          <t>sample</t>
        </is>
      </c>
    </row>
    <row r="17">
      <c r="A17" s="15" t="n">
        <v>46308</v>
      </c>
      <c r="B17" s="8" t="inlineStr">
        <is>
          <t>Utilities</t>
        </is>
      </c>
      <c r="C17" s="9" t="n">
        <v>36</v>
      </c>
      <c r="D17" s="8" t="inlineStr">
        <is>
          <t>sample</t>
        </is>
      </c>
    </row>
    <row r="18">
      <c r="A18" s="15" t="n">
        <v>46309</v>
      </c>
      <c r="B18" s="8" t="inlineStr">
        <is>
          <t>Travel fund</t>
        </is>
      </c>
      <c r="C18" s="9" t="n">
        <v>16.67</v>
      </c>
      <c r="D18" s="8" t="inlineStr">
        <is>
          <t>sample</t>
        </is>
      </c>
    </row>
    <row r="19">
      <c r="A19" s="15" t="n">
        <v>46310</v>
      </c>
      <c r="B19" s="8" t="inlineStr">
        <is>
          <t>Subscriptions</t>
        </is>
      </c>
      <c r="C19" s="9" t="n">
        <v>11.25</v>
      </c>
      <c r="D19" s="8" t="inlineStr">
        <is>
          <t>sample</t>
        </is>
      </c>
    </row>
    <row r="20">
      <c r="A20" s="15" t="n">
        <v>46311</v>
      </c>
      <c r="B20" s="8" t="inlineStr">
        <is>
          <t>Subscriptions</t>
        </is>
      </c>
      <c r="C20" s="9" t="n">
        <v>5.62</v>
      </c>
      <c r="D20" s="8" t="inlineStr">
        <is>
          <t>sample</t>
        </is>
      </c>
    </row>
    <row r="21">
      <c r="A21" s="15" t="n">
        <v>46312</v>
      </c>
      <c r="B21" s="8" t="inlineStr">
        <is>
          <t>Dining out</t>
        </is>
      </c>
      <c r="C21" s="9" t="n">
        <v>50</v>
      </c>
      <c r="D21" s="8" t="inlineStr">
        <is>
          <t>sample</t>
        </is>
      </c>
    </row>
    <row r="22">
      <c r="A22" s="15" t="n">
        <v>46313</v>
      </c>
      <c r="B22" s="8" t="inlineStr">
        <is>
          <t>Transport</t>
        </is>
      </c>
      <c r="C22" s="9" t="n">
        <v>55</v>
      </c>
      <c r="D22" s="8" t="inlineStr">
        <is>
          <t>sample</t>
        </is>
      </c>
    </row>
    <row r="23">
      <c r="A23" s="15" t="n">
        <v>46314</v>
      </c>
      <c r="B23" s="8" t="inlineStr">
        <is>
          <t>Shopping</t>
        </is>
      </c>
      <c r="C23" s="9" t="n">
        <v>30</v>
      </c>
      <c r="D23" s="8" t="inlineStr">
        <is>
          <t>sample</t>
        </is>
      </c>
    </row>
    <row r="24">
      <c r="A24" s="15" t="n">
        <v>46315</v>
      </c>
      <c r="B24" s="8" t="inlineStr">
        <is>
          <t>Insurance</t>
        </is>
      </c>
      <c r="C24" s="9" t="n">
        <v>22.86</v>
      </c>
      <c r="D24" s="8" t="inlineStr">
        <is>
          <t>sample</t>
        </is>
      </c>
    </row>
    <row r="25">
      <c r="A25" s="15" t="n">
        <v>46316</v>
      </c>
      <c r="B25" s="8" t="inlineStr">
        <is>
          <t>Groceries</t>
        </is>
      </c>
      <c r="C25" s="9" t="n">
        <v>56.25</v>
      </c>
      <c r="D25" s="8" t="inlineStr">
        <is>
          <t>sample</t>
        </is>
      </c>
    </row>
    <row r="26">
      <c r="A26" s="15" t="n">
        <v>46317</v>
      </c>
      <c r="B26" s="8" t="inlineStr">
        <is>
          <t>Utilities</t>
        </is>
      </c>
      <c r="C26" s="9" t="n">
        <v>22.5</v>
      </c>
      <c r="D26" s="8" t="inlineStr">
        <is>
          <t>sample</t>
        </is>
      </c>
    </row>
    <row r="27">
      <c r="A27" s="15" t="n">
        <v>46318</v>
      </c>
      <c r="B27" s="8" t="inlineStr">
        <is>
          <t>Insurance</t>
        </is>
      </c>
      <c r="C27" s="9" t="n">
        <v>20</v>
      </c>
      <c r="D27" s="8" t="inlineStr">
        <is>
          <t>sample</t>
        </is>
      </c>
    </row>
    <row r="28">
      <c r="A28" s="15" t="n">
        <v>46319</v>
      </c>
      <c r="B28" s="8" t="inlineStr">
        <is>
          <t>Travel fund</t>
        </is>
      </c>
      <c r="C28" s="9" t="n">
        <v>30</v>
      </c>
      <c r="D28" s="8" t="inlineStr">
        <is>
          <t>sample</t>
        </is>
      </c>
    </row>
    <row r="29">
      <c r="A29" s="15" t="n">
        <v>46320</v>
      </c>
      <c r="B29" s="8" t="inlineStr">
        <is>
          <t>Utilities</t>
        </is>
      </c>
      <c r="C29" s="9" t="n">
        <v>22.5</v>
      </c>
      <c r="D29" s="8" t="inlineStr">
        <is>
          <t>sample</t>
        </is>
      </c>
    </row>
    <row r="30">
      <c r="A30" s="15" t="n">
        <v>46321</v>
      </c>
      <c r="B30" s="8" t="inlineStr">
        <is>
          <t>Subscriptions</t>
        </is>
      </c>
      <c r="C30" s="9" t="n">
        <v>5</v>
      </c>
      <c r="D30" s="8" t="inlineStr">
        <is>
          <t>sample</t>
        </is>
      </c>
    </row>
    <row r="31">
      <c r="A31" s="15" t="n">
        <v>46322</v>
      </c>
      <c r="B31" s="8" t="inlineStr">
        <is>
          <t>Transport</t>
        </is>
      </c>
      <c r="C31" s="9" t="n">
        <v>36.67</v>
      </c>
      <c r="D31" s="8" t="inlineStr">
        <is>
          <t>sample</t>
        </is>
      </c>
    </row>
    <row r="32">
      <c r="A32" s="15" t="n">
        <v>46323</v>
      </c>
      <c r="B32" s="8" t="inlineStr">
        <is>
          <t>Utilities</t>
        </is>
      </c>
      <c r="C32" s="9" t="n">
        <v>22.5</v>
      </c>
      <c r="D32" s="8" t="inlineStr">
        <is>
          <t>sample</t>
        </is>
      </c>
    </row>
    <row r="33">
      <c r="A33" s="15" t="n">
        <v>46296</v>
      </c>
      <c r="B33" s="8" t="inlineStr">
        <is>
          <t>Utilities</t>
        </is>
      </c>
      <c r="C33" s="9" t="n">
        <v>22.5</v>
      </c>
      <c r="D33" s="8" t="inlineStr">
        <is>
          <t>sample</t>
        </is>
      </c>
    </row>
    <row r="34">
      <c r="A34" s="15" t="n">
        <v>46297</v>
      </c>
      <c r="B34" s="8" t="inlineStr">
        <is>
          <t>Rent / mortgage</t>
        </is>
      </c>
      <c r="C34" s="9" t="n">
        <v>175</v>
      </c>
      <c r="D34" s="8" t="inlineStr">
        <is>
          <t>sample</t>
        </is>
      </c>
    </row>
    <row r="35">
      <c r="A35" s="15" t="n">
        <v>46298</v>
      </c>
      <c r="B35" s="8" t="inlineStr">
        <is>
          <t>Transport</t>
        </is>
      </c>
      <c r="C35" s="9" t="n">
        <v>31.43</v>
      </c>
      <c r="D35" s="8" t="inlineStr">
        <is>
          <t>sample</t>
        </is>
      </c>
    </row>
    <row r="36">
      <c r="A36" s="15" t="n">
        <v>46299</v>
      </c>
      <c r="B36" s="8" t="inlineStr">
        <is>
          <t>Travel fund</t>
        </is>
      </c>
      <c r="C36" s="9" t="n">
        <v>18.75</v>
      </c>
      <c r="D36" s="8" t="inlineStr">
        <is>
          <t>sample</t>
        </is>
      </c>
    </row>
    <row r="37">
      <c r="A37" s="15" t="n">
        <v>46300</v>
      </c>
      <c r="B37" s="8" t="inlineStr">
        <is>
          <t>Dining out</t>
        </is>
      </c>
      <c r="C37" s="9" t="n">
        <v>33.33</v>
      </c>
      <c r="D37" s="8" t="inlineStr">
        <is>
          <t>sample</t>
        </is>
      </c>
    </row>
    <row r="38">
      <c r="A38" s="15" t="n">
        <v>46301</v>
      </c>
      <c r="B38" s="8" t="inlineStr">
        <is>
          <t>Entertainment</t>
        </is>
      </c>
      <c r="C38" s="9" t="n">
        <v>15</v>
      </c>
      <c r="D38" s="8" t="inlineStr">
        <is>
          <t>sample</t>
        </is>
      </c>
    </row>
    <row r="39">
      <c r="A39" s="15" t="n">
        <v>46302</v>
      </c>
      <c r="B39" s="8" t="inlineStr">
        <is>
          <t>Entertainment</t>
        </is>
      </c>
      <c r="C39" s="9" t="n">
        <v>20</v>
      </c>
      <c r="D39" s="8" t="inlineStr">
        <is>
          <t>sample</t>
        </is>
      </c>
    </row>
    <row r="40">
      <c r="A40" s="15" t="n">
        <v>46303</v>
      </c>
      <c r="B40" s="8" t="inlineStr">
        <is>
          <t>Insurance</t>
        </is>
      </c>
      <c r="C40" s="9" t="n">
        <v>32</v>
      </c>
      <c r="D40" s="8" t="inlineStr">
        <is>
          <t>sample</t>
        </is>
      </c>
    </row>
    <row r="41">
      <c r="A41" s="15" t="n">
        <v>46304</v>
      </c>
      <c r="B41" s="8" t="inlineStr">
        <is>
          <t>Groceries</t>
        </is>
      </c>
      <c r="C41" s="9" t="n">
        <v>50</v>
      </c>
      <c r="D41" s="8" t="inlineStr">
        <is>
          <t>sample</t>
        </is>
      </c>
    </row>
    <row r="42">
      <c r="A42" s="15" t="n">
        <v>46305</v>
      </c>
      <c r="B42" s="8" t="inlineStr">
        <is>
          <t>Transport</t>
        </is>
      </c>
      <c r="C42" s="9" t="n">
        <v>55</v>
      </c>
      <c r="D42" s="8" t="inlineStr">
        <is>
          <t>sample</t>
        </is>
      </c>
    </row>
    <row r="43">
      <c r="A43" s="15" t="n">
        <v>46306</v>
      </c>
      <c r="B43" s="8" t="inlineStr">
        <is>
          <t>Subscriptions</t>
        </is>
      </c>
      <c r="C43" s="9" t="n">
        <v>7.5</v>
      </c>
      <c r="D43" s="8" t="inlineStr">
        <is>
          <t>sample</t>
        </is>
      </c>
    </row>
    <row r="44">
      <c r="A44" s="15" t="n">
        <v>46307</v>
      </c>
      <c r="B44" s="8" t="inlineStr">
        <is>
          <t>Shopping</t>
        </is>
      </c>
      <c r="C44" s="9" t="n">
        <v>21.43</v>
      </c>
      <c r="D44" s="8" t="inlineStr">
        <is>
          <t>sample</t>
        </is>
      </c>
    </row>
  </sheetData>
  <dataValidations count="1">
    <dataValidation sqref="B5:B500" showDropDown="0" showInputMessage="0" showErrorMessage="0" allowBlank="1" type="list">
      <formula1>=Budget!$A$7:$A$20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2026-10-20T21:02:28Z</dcterms:created>
  <dcterms:modified xmlns:dcterms="http://purl.org/dc/terms/" xmlns:xsi="http://www.w3.org/2001/XMLSchema-instance" xsi:type="dcterms:W3CDTF">2026-10-20T21:02:28Z</dcterms:modified>
</cp:coreProperties>
</file>