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Goals" sheetId="2" state="visible" r:id="rId2"/>
    <sheet xmlns:r="http://schemas.openxmlformats.org/officeDocument/2006/relationships" name="Depos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8">
    <font>
      <name val="Calibri"/>
      <family val="2"/>
      <color theme="1"/>
      <sz val="11"/>
      <scheme val="minor"/>
    </font>
    <font>
      <color rgb="001A1A1A"/>
      <sz val="20"/>
    </font>
    <font>
      <color rgb="008B7E6F"/>
      <sz val="10"/>
    </font>
    <font>
      <b val="1"/>
      <color rgb="008B7E6F"/>
      <sz val="9"/>
    </font>
    <font>
      <color rgb="008B7E6F"/>
      <sz val="9"/>
    </font>
    <font>
      <b val="1"/>
      <color rgb="00FFFFFF"/>
      <sz val="10"/>
    </font>
    <font>
      <color rgb="001A1A1A"/>
      <sz val="10"/>
    </font>
    <font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E8833A"/>
      </patternFill>
    </fill>
    <fill>
      <patternFill patternType="solid">
        <fgColor rgb="00FFF4EA"/>
      </patternFill>
    </fill>
  </fills>
  <borders count="2">
    <border>
      <left/>
      <right/>
      <top/>
      <bottom/>
      <diagonal/>
    </border>
    <border>
      <bottom style="thin">
        <color rgb="00E8E0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pivotButton="0" quotePrefix="0" xfId="0"/>
    <xf numFmtId="165" fontId="6" fillId="3" borderId="1" pivotButton="0" quotePrefix="0" xfId="0"/>
    <xf numFmtId="164" fontId="6" fillId="3" borderId="1" pivotButton="0" quotePrefix="0" xfId="0"/>
    <xf numFmtId="165" fontId="7" fillId="0" borderId="1" pivotButton="0" quotePrefix="0" xfId="0"/>
    <xf numFmtId="9" fontId="7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Saved vs target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'Goals'!B5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'Goals'!$A$6:$A$10</f>
            </numRef>
          </cat>
          <val>
            <numRef>
              <f>'Goals'!$B$6:$B$10</f>
            </numRef>
          </val>
        </ser>
        <ser>
          <idx val="1"/>
          <order val="1"/>
          <tx>
            <strRef>
              <f>'Goals'!D5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'Goals'!$A$6:$A$10</f>
            </numRef>
          </cat>
          <val>
            <numRef>
              <f>'Goals'!$D$6:$D$10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833A"/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0" customHeight="1">
      <c r="A1" s="1" t="inlineStr">
        <is>
          <t>Savings Goals Tracker</t>
        </is>
      </c>
    </row>
    <row r="2">
      <c r="A2" s="2" t="inlineStr">
        <is>
          <t>Free template · templates.snoutsmith.com</t>
        </is>
      </c>
    </row>
    <row r="4">
      <c r="B4" s="3" t="inlineStr">
        <is>
          <t>WHAT IT DOES</t>
        </is>
      </c>
    </row>
    <row r="5" ht="34" customHeight="1">
      <c r="B5" s="4" t="inlineStr">
        <is>
          <t>Track several savings goals: target, saved so far, monthly amount, % reached and the month you will hit each goal.</t>
        </is>
      </c>
    </row>
    <row r="7">
      <c r="B7" s="3" t="inlineStr">
        <is>
          <t>HOW TO USE</t>
        </is>
      </c>
    </row>
    <row r="8">
      <c r="B8" s="4" t="inlineStr">
        <is>
          <t>1. List your goals with a target amount and target date.</t>
        </is>
      </c>
    </row>
    <row r="9">
      <c r="B9" s="4" t="inlineStr">
        <is>
          <t>2. Log every deposit on the Deposits sheet.</t>
        </is>
      </c>
    </row>
    <row r="10">
      <c r="B10" s="4" t="inlineStr">
        <is>
          <t>3. Goals shows progress, what to save each month and the expected finish.</t>
        </is>
      </c>
    </row>
    <row r="12">
      <c r="B12" s="3" t="inlineStr">
        <is>
          <t>GOOD TO KNOW</t>
        </is>
      </c>
    </row>
    <row r="13">
      <c r="B13" s="4" t="inlineStr">
        <is>
          <t>• Expected finish assumes your average monthly deposit so far keeps going.</t>
        </is>
      </c>
    </row>
    <row r="14">
      <c r="B14" s="4" t="inlineStr">
        <is>
          <t>• Delete sample deposits (rows 5–36) to start fresh.</t>
        </is>
      </c>
    </row>
    <row r="16">
      <c r="B16" s="5" t="inlineStr">
        <is>
          <t>Tinted cells are yours to type in. Grey numbers are formulas – leave them. Works in Google Sheets (File → Import or open the .xlsx) and Excel, free plans, no add-ons or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E0D5"/>
    <outlinePr summaryBelow="1" summaryRight="1"/>
    <pageSetUpPr/>
  </sheetPr>
  <dimension ref="A1:H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3" customWidth="1" min="4" max="4"/>
    <col width="10" customWidth="1" min="5" max="5"/>
    <col width="12" customWidth="1" min="6" max="6"/>
    <col width="14" customWidth="1" min="7" max="7"/>
    <col width="16" customWidth="1" min="8" max="8"/>
  </cols>
  <sheetData>
    <row r="1" ht="30" customHeight="1">
      <c r="A1" s="1" t="inlineStr">
        <is>
          <t>Goals</t>
        </is>
      </c>
    </row>
    <row r="2">
      <c r="A2" s="2" t="inlineStr">
        <is>
          <t>Today's date drives the months left</t>
        </is>
      </c>
    </row>
    <row r="3">
      <c r="A3" s="3" t="inlineStr">
        <is>
          <t>Today</t>
        </is>
      </c>
      <c r="B3" s="6">
        <f>TODAY()</f>
        <v/>
      </c>
    </row>
    <row r="5" ht="22" customHeight="1">
      <c r="A5" s="7" t="inlineStr">
        <is>
          <t>Goal</t>
        </is>
      </c>
      <c r="B5" s="7" t="inlineStr">
        <is>
          <t>Target</t>
        </is>
      </c>
      <c r="C5" s="7" t="inlineStr">
        <is>
          <t>Target date</t>
        </is>
      </c>
      <c r="D5" s="7" t="inlineStr">
        <is>
          <t>Saved</t>
        </is>
      </c>
      <c r="E5" s="7" t="inlineStr">
        <is>
          <t>% reached</t>
        </is>
      </c>
      <c r="F5" s="7" t="inlineStr">
        <is>
          <t>Months left</t>
        </is>
      </c>
      <c r="G5" s="7" t="inlineStr">
        <is>
          <t>Save per month</t>
        </is>
      </c>
      <c r="H5" s="7" t="inlineStr">
        <is>
          <t>Months to finish</t>
        </is>
      </c>
    </row>
    <row r="6">
      <c r="A6" s="8" t="inlineStr">
        <is>
          <t>Emergency fund</t>
        </is>
      </c>
      <c r="B6" s="9" t="n">
        <v>10000</v>
      </c>
      <c r="C6" s="10" t="n">
        <v>46752</v>
      </c>
      <c r="D6" s="11">
        <f>SUMIFS(Deposits!$C$5:$C$500,Deposits!$B$5:$B$500,A6)</f>
        <v/>
      </c>
      <c r="E6" s="12">
        <f>IF(B6=0,0,MIN(1,D6/B6))</f>
        <v/>
      </c>
      <c r="F6" s="13">
        <f>MAX(0,ROUND((C6-$B$3)/30.44,0))</f>
        <v/>
      </c>
      <c r="G6" s="11">
        <f>IF(F6=0,MAX(0,B6-D6),MAX(0,B6-D6)/F6)</f>
        <v/>
      </c>
      <c r="H6" s="13">
        <f>IF(D6&gt;=B6,0,IFERROR(ROUND((B6-D6)/(D6/MAX(1,COUNTIFS(Deposits!$B$5:$B$500,A6))),0),"–"))</f>
        <v/>
      </c>
    </row>
    <row r="7">
      <c r="A7" s="8" t="inlineStr">
        <is>
          <t>Vacation</t>
        </is>
      </c>
      <c r="B7" s="9" t="n">
        <v>3000</v>
      </c>
      <c r="C7" s="10" t="n">
        <v>46568</v>
      </c>
      <c r="D7" s="11">
        <f>SUMIFS(Deposits!$C$5:$C$500,Deposits!$B$5:$B$500,A7)</f>
        <v/>
      </c>
      <c r="E7" s="12">
        <f>IF(B7=0,0,MIN(1,D7/B7))</f>
        <v/>
      </c>
      <c r="F7" s="13">
        <f>MAX(0,ROUND((C7-$B$3)/30.44,0))</f>
        <v/>
      </c>
      <c r="G7" s="11">
        <f>IF(F7=0,MAX(0,B7-D7),MAX(0,B7-D7)/F7)</f>
        <v/>
      </c>
      <c r="H7" s="13">
        <f>IF(D7&gt;=B7,0,IFERROR(ROUND((B7-D7)/(D7/MAX(1,COUNTIFS(Deposits!$B$5:$B$500,A7))),0),"–"))</f>
        <v/>
      </c>
    </row>
    <row r="8">
      <c r="A8" s="8" t="inlineStr">
        <is>
          <t>New laptop</t>
        </is>
      </c>
      <c r="B8" s="9" t="n">
        <v>1800</v>
      </c>
      <c r="C8" s="10" t="n">
        <v>46477</v>
      </c>
      <c r="D8" s="11">
        <f>SUMIFS(Deposits!$C$5:$C$500,Deposits!$B$5:$B$500,A8)</f>
        <v/>
      </c>
      <c r="E8" s="12">
        <f>IF(B8=0,0,MIN(1,D8/B8))</f>
        <v/>
      </c>
      <c r="F8" s="13">
        <f>MAX(0,ROUND((C8-$B$3)/30.44,0))</f>
        <v/>
      </c>
      <c r="G8" s="11">
        <f>IF(F8=0,MAX(0,B8-D8),MAX(0,B8-D8)/F8)</f>
        <v/>
      </c>
      <c r="H8" s="13">
        <f>IF(D8&gt;=B8,0,IFERROR(ROUND((B8-D8)/(D8/MAX(1,COUNTIFS(Deposits!$B$5:$B$500,A8))),0),"–"))</f>
        <v/>
      </c>
    </row>
    <row r="9">
      <c r="A9" s="8" t="inlineStr">
        <is>
          <t>Car down payment</t>
        </is>
      </c>
      <c r="B9" s="9" t="n">
        <v>6000</v>
      </c>
      <c r="C9" s="10" t="n">
        <v>46934</v>
      </c>
      <c r="D9" s="11">
        <f>SUMIFS(Deposits!$C$5:$C$500,Deposits!$B$5:$B$500,A9)</f>
        <v/>
      </c>
      <c r="E9" s="12">
        <f>IF(B9=0,0,MIN(1,D9/B9))</f>
        <v/>
      </c>
      <c r="F9" s="13">
        <f>MAX(0,ROUND((C9-$B$3)/30.44,0))</f>
        <v/>
      </c>
      <c r="G9" s="11">
        <f>IF(F9=0,MAX(0,B9-D9),MAX(0,B9-D9)/F9)</f>
        <v/>
      </c>
      <c r="H9" s="13">
        <f>IF(D9&gt;=B9,0,IFERROR(ROUND((B9-D9)/(D9/MAX(1,COUNTIFS(Deposits!$B$5:$B$500,A9))),0),"–"))</f>
        <v/>
      </c>
    </row>
    <row r="10">
      <c r="A10" s="8" t="inlineStr">
        <is>
          <t>Holiday gifts</t>
        </is>
      </c>
      <c r="B10" s="9" t="n">
        <v>800</v>
      </c>
      <c r="C10" s="10" t="n">
        <v>46371</v>
      </c>
      <c r="D10" s="11">
        <f>SUMIFS(Deposits!$C$5:$C$500,Deposits!$B$5:$B$500,A10)</f>
        <v/>
      </c>
      <c r="E10" s="12">
        <f>IF(B10=0,0,MIN(1,D10/B10))</f>
        <v/>
      </c>
      <c r="F10" s="13">
        <f>MAX(0,ROUND((C10-$B$3)/30.44,0))</f>
        <v/>
      </c>
      <c r="G10" s="11">
        <f>IF(F10=0,MAX(0,B10-D10),MAX(0,B10-D10)/F10)</f>
        <v/>
      </c>
      <c r="H10" s="13">
        <f>IF(D10&gt;=B10,0,IFERROR(ROUND((B10-D10)/(D10/MAX(1,COUNTIFS(Deposits!$B$5:$B$500,A10))),0),"–"))</f>
        <v/>
      </c>
    </row>
  </sheetData>
  <conditionalFormatting sqref="E6:E15">
    <cfRule type="dataBar" priority="1">
      <dataBar>
        <cfvo type="num" val="0"/>
        <cfvo type="num" val="1"/>
        <color rgb="00E8833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8E0D5"/>
    <outlinePr summaryBelow="1" summaryRight="1"/>
    <pageSetUpPr/>
  </sheetPr>
  <dimension ref="A1:C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 ht="30" customHeight="1">
      <c r="A1" s="1" t="inlineStr">
        <is>
          <t>Deposits</t>
        </is>
      </c>
    </row>
    <row r="2">
      <c r="A2" s="2" t="inlineStr">
        <is>
          <t>One line per deposit</t>
        </is>
      </c>
    </row>
    <row r="4" ht="22" customHeight="1">
      <c r="A4" s="7" t="inlineStr">
        <is>
          <t>Date</t>
        </is>
      </c>
      <c r="B4" s="7" t="inlineStr">
        <is>
          <t>Goal</t>
        </is>
      </c>
      <c r="C4" s="7" t="inlineStr">
        <is>
          <t>Amount</t>
        </is>
      </c>
    </row>
    <row r="5">
      <c r="A5" s="10" t="n">
        <v>46082</v>
      </c>
      <c r="B5" s="8" t="inlineStr">
        <is>
          <t>Emergency fund</t>
        </is>
      </c>
      <c r="C5" s="9" t="n">
        <v>150</v>
      </c>
    </row>
    <row r="6">
      <c r="A6" s="10" t="n">
        <v>46085</v>
      </c>
      <c r="B6" s="8" t="inlineStr">
        <is>
          <t>Vacation</t>
        </is>
      </c>
      <c r="C6" s="9" t="n">
        <v>200</v>
      </c>
    </row>
    <row r="7">
      <c r="A7" s="10" t="n">
        <v>46088</v>
      </c>
      <c r="B7" s="8" t="inlineStr">
        <is>
          <t>New laptop</t>
        </is>
      </c>
      <c r="C7" s="9" t="n">
        <v>150</v>
      </c>
    </row>
    <row r="8">
      <c r="A8" s="10" t="n">
        <v>46091</v>
      </c>
      <c r="B8" s="8" t="inlineStr">
        <is>
          <t>Car down payment</t>
        </is>
      </c>
      <c r="C8" s="9" t="n">
        <v>150</v>
      </c>
    </row>
    <row r="9">
      <c r="A9" s="10" t="n">
        <v>46094</v>
      </c>
      <c r="B9" s="8" t="inlineStr">
        <is>
          <t>Holiday gifts</t>
        </is>
      </c>
      <c r="C9" s="9" t="n">
        <v>200</v>
      </c>
    </row>
    <row r="10">
      <c r="A10" s="10" t="n">
        <v>46128</v>
      </c>
      <c r="B10" s="8" t="inlineStr">
        <is>
          <t>Emergency fund</t>
        </is>
      </c>
      <c r="C10" s="9" t="n">
        <v>200</v>
      </c>
    </row>
    <row r="11">
      <c r="A11" s="10" t="n">
        <v>46131</v>
      </c>
      <c r="B11" s="8" t="inlineStr">
        <is>
          <t>Vacation</t>
        </is>
      </c>
      <c r="C11" s="9" t="n">
        <v>75</v>
      </c>
    </row>
    <row r="12">
      <c r="A12" s="10" t="n">
        <v>46134</v>
      </c>
      <c r="B12" s="8" t="inlineStr">
        <is>
          <t>New laptop</t>
        </is>
      </c>
      <c r="C12" s="9" t="n">
        <v>75</v>
      </c>
    </row>
    <row r="13">
      <c r="A13" s="10" t="n">
        <v>46137</v>
      </c>
      <c r="B13" s="8" t="inlineStr">
        <is>
          <t>Car down payment</t>
        </is>
      </c>
      <c r="C13" s="9" t="n">
        <v>200</v>
      </c>
    </row>
    <row r="14">
      <c r="A14" s="10" t="n">
        <v>46113</v>
      </c>
      <c r="B14" s="8" t="inlineStr">
        <is>
          <t>Holiday gifts</t>
        </is>
      </c>
      <c r="C14" s="9" t="n">
        <v>150</v>
      </c>
    </row>
    <row r="15">
      <c r="A15" s="10" t="n">
        <v>46146</v>
      </c>
      <c r="B15" s="8" t="inlineStr">
        <is>
          <t>Emergency fund</t>
        </is>
      </c>
      <c r="C15" s="9" t="n">
        <v>250</v>
      </c>
    </row>
    <row r="16">
      <c r="A16" s="10" t="n">
        <v>46149</v>
      </c>
      <c r="B16" s="8" t="inlineStr">
        <is>
          <t>Vacation</t>
        </is>
      </c>
      <c r="C16" s="9" t="n">
        <v>200</v>
      </c>
    </row>
    <row r="17">
      <c r="A17" s="10" t="n">
        <v>46152</v>
      </c>
      <c r="B17" s="8" t="inlineStr">
        <is>
          <t>New laptop</t>
        </is>
      </c>
      <c r="C17" s="9" t="n">
        <v>75</v>
      </c>
    </row>
    <row r="18">
      <c r="A18" s="10" t="n">
        <v>46155</v>
      </c>
      <c r="B18" s="8" t="inlineStr">
        <is>
          <t>Car down payment</t>
        </is>
      </c>
      <c r="C18" s="9" t="n">
        <v>50</v>
      </c>
    </row>
    <row r="19">
      <c r="A19" s="10" t="n">
        <v>46158</v>
      </c>
      <c r="B19" s="8" t="inlineStr">
        <is>
          <t>Holiday gifts</t>
        </is>
      </c>
      <c r="C19" s="9" t="n">
        <v>150</v>
      </c>
    </row>
    <row r="20">
      <c r="A20" s="10" t="n">
        <v>46192</v>
      </c>
      <c r="B20" s="8" t="inlineStr">
        <is>
          <t>Emergency fund</t>
        </is>
      </c>
      <c r="C20" s="9" t="n">
        <v>100</v>
      </c>
    </row>
    <row r="21">
      <c r="A21" s="10" t="n">
        <v>46195</v>
      </c>
      <c r="B21" s="8" t="inlineStr">
        <is>
          <t>Vacation</t>
        </is>
      </c>
      <c r="C21" s="9" t="n">
        <v>75</v>
      </c>
    </row>
    <row r="22">
      <c r="A22" s="10" t="n">
        <v>46198</v>
      </c>
      <c r="B22" s="8" t="inlineStr">
        <is>
          <t>New laptop</t>
        </is>
      </c>
      <c r="C22" s="9" t="n">
        <v>50</v>
      </c>
    </row>
    <row r="23">
      <c r="A23" s="10" t="n">
        <v>46174</v>
      </c>
      <c r="B23" s="8" t="inlineStr">
        <is>
          <t>Car down payment</t>
        </is>
      </c>
      <c r="C23" s="9" t="n">
        <v>200</v>
      </c>
    </row>
    <row r="24">
      <c r="A24" s="10" t="n">
        <v>46177</v>
      </c>
      <c r="B24" s="8" t="inlineStr">
        <is>
          <t>Holiday gifts</t>
        </is>
      </c>
      <c r="C24" s="9" t="n">
        <v>250</v>
      </c>
    </row>
    <row r="25">
      <c r="A25" s="10" t="n">
        <v>46210</v>
      </c>
      <c r="B25" s="8" t="inlineStr">
        <is>
          <t>Emergency fund</t>
        </is>
      </c>
      <c r="C25" s="9" t="n">
        <v>250</v>
      </c>
    </row>
    <row r="26">
      <c r="A26" s="10" t="n">
        <v>46213</v>
      </c>
      <c r="B26" s="8" t="inlineStr">
        <is>
          <t>Vacation</t>
        </is>
      </c>
      <c r="C26" s="9" t="n">
        <v>50</v>
      </c>
    </row>
    <row r="27">
      <c r="A27" s="10" t="n">
        <v>46216</v>
      </c>
      <c r="B27" s="8" t="inlineStr">
        <is>
          <t>New laptop</t>
        </is>
      </c>
      <c r="C27" s="9" t="n">
        <v>200</v>
      </c>
    </row>
    <row r="28">
      <c r="A28" s="10" t="n">
        <v>46219</v>
      </c>
      <c r="B28" s="8" t="inlineStr">
        <is>
          <t>Car down payment</t>
        </is>
      </c>
      <c r="C28" s="9" t="n">
        <v>150</v>
      </c>
    </row>
    <row r="29">
      <c r="A29" s="10" t="n">
        <v>46222</v>
      </c>
      <c r="B29" s="8" t="inlineStr">
        <is>
          <t>Holiday gifts</t>
        </is>
      </c>
      <c r="C29" s="9" t="n">
        <v>150</v>
      </c>
    </row>
    <row r="30">
      <c r="A30" s="10" t="n">
        <v>46256</v>
      </c>
      <c r="B30" s="8" t="inlineStr">
        <is>
          <t>Emergency fund</t>
        </is>
      </c>
      <c r="C30" s="9" t="n">
        <v>250</v>
      </c>
    </row>
    <row r="31">
      <c r="A31" s="10" t="n">
        <v>46259</v>
      </c>
      <c r="B31" s="8" t="inlineStr">
        <is>
          <t>Vacation</t>
        </is>
      </c>
      <c r="C31" s="9" t="n">
        <v>250</v>
      </c>
    </row>
    <row r="32">
      <c r="A32" s="10" t="n">
        <v>46235</v>
      </c>
      <c r="B32" s="8" t="inlineStr">
        <is>
          <t>New laptop</t>
        </is>
      </c>
      <c r="C32" s="9" t="n">
        <v>200</v>
      </c>
    </row>
    <row r="33">
      <c r="A33" s="10" t="n">
        <v>46238</v>
      </c>
      <c r="B33" s="8" t="inlineStr">
        <is>
          <t>Car down payment</t>
        </is>
      </c>
      <c r="C33" s="9" t="n">
        <v>250</v>
      </c>
    </row>
    <row r="34">
      <c r="A34" s="10" t="n">
        <v>46241</v>
      </c>
      <c r="B34" s="8" t="inlineStr">
        <is>
          <t>Holiday gifts</t>
        </is>
      </c>
      <c r="C34" s="9" t="n">
        <v>75</v>
      </c>
    </row>
    <row r="35">
      <c r="A35" s="10" t="n">
        <v>46275</v>
      </c>
      <c r="B35" s="8" t="inlineStr">
        <is>
          <t>Emergency fund</t>
        </is>
      </c>
      <c r="C35" s="9" t="n">
        <v>200</v>
      </c>
    </row>
    <row r="36">
      <c r="A36" s="10" t="n">
        <v>46278</v>
      </c>
      <c r="B36" s="8" t="inlineStr">
        <is>
          <t>Vacation</t>
        </is>
      </c>
      <c r="C36" s="9" t="n">
        <v>50</v>
      </c>
    </row>
  </sheetData>
  <dataValidations count="1">
    <dataValidation sqref="B5:B500" showDropDown="0" showInputMessage="0" showErrorMessage="0" allowBlank="1" type="list">
      <formula1>=Goals!$A$6:$A$15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2026-10-20T21:02:46Z</dcterms:created>
  <dcterms:modified xmlns:dcterms="http://purl.org/dc/terms/" xmlns:xsi="http://www.w3.org/2001/XMLSchema-instance" xsi:type="dcterms:W3CDTF">2026-10-20T21:02:46Z</dcterms:modified>
</cp:coreProperties>
</file>